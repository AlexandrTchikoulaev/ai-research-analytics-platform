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Mac\Home\Desktop\Portulans\NRI\NRI Model 2025\Model\NRI Data Pack\"/>
    </mc:Choice>
  </mc:AlternateContent>
  <xr:revisionPtr revIDLastSave="0" documentId="13_ncr:1_{3F934423-3679-403A-BCDE-279141A78AF4}" xr6:coauthVersionLast="47" xr6:coauthVersionMax="47" xr10:uidLastSave="{00000000-0000-0000-0000-000000000000}"/>
  <bookViews>
    <workbookView xWindow="-98" yWindow="-98" windowWidth="25396" windowHeight="15225" tabRatio="958" xr2:uid="{B5189F5D-3B2F-47C3-AF64-384F3911FF51}"/>
  </bookViews>
  <sheets>
    <sheet name="NRI 2025" sheetId="12" r:id="rId1"/>
    <sheet name="T1 Top 10" sheetId="1" r:id="rId2"/>
    <sheet name="T2 Top3 Region" sheetId="2" r:id="rId3"/>
    <sheet name="T3 Top3 Income" sheetId="3" r:id="rId4"/>
    <sheet name="T1 NRI R&amp;S" sheetId="4" r:id="rId5"/>
    <sheet name="T2 Rank pillar" sheetId="5" r:id="rId6"/>
    <sheet name="Country Codes" sheetId="6" r:id="rId7"/>
    <sheet name="AT1 Technology" sheetId="7" r:id="rId8"/>
    <sheet name="AT2 People" sheetId="8" r:id="rId9"/>
    <sheet name="AT3 Governance" sheetId="9" r:id="rId10"/>
    <sheet name="AT4 Impact" sheetId="10" r:id="rId11"/>
    <sheet name="Index of Country Economy Profil" sheetId="11" r:id="rId12"/>
  </sheets>
  <definedNames>
    <definedName name="_xlnm._FilterDatabase" localSheetId="7" hidden="1">'AT1 Technology'!#REF!</definedName>
    <definedName name="_xlnm._FilterDatabase" localSheetId="8" hidden="1">'AT2 People'!#REF!</definedName>
    <definedName name="_xlnm._FilterDatabase" localSheetId="9" hidden="1">'AT3 Governance'!#REF!</definedName>
    <definedName name="_xlnm._FilterDatabase" localSheetId="10" hidden="1">'AT4 Impact'!$A$4:$A$132</definedName>
    <definedName name="_xlnm._FilterDatabase" localSheetId="6" hidden="1">'Country Codes'!#REF!</definedName>
    <definedName name="_xlnm._FilterDatabase" localSheetId="11" hidden="1">'Index of Country Economy Profil'!$B$2:$C$129</definedName>
    <definedName name="_xlnm._FilterDatabase" localSheetId="0" hidden="1">'NRI 2025'!$A$6:$EQ$133</definedName>
    <definedName name="_xlnm._FilterDatabase" localSheetId="4" hidden="1">'T1 NRI R&amp;S'!$A$4:$A$131</definedName>
    <definedName name="_xlnm._FilterDatabase" localSheetId="1" hidden="1">'T1 Top 10'!$A$5:$A$15</definedName>
    <definedName name="_xlnm._FilterDatabase" localSheetId="5" hidden="1">'T2 Rank pillar'!#REF!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99" i="4" l="1"/>
  <c r="C88" i="4"/>
  <c r="C79" i="4"/>
  <c r="C71" i="4"/>
  <c r="C63" i="4"/>
  <c r="C47" i="4"/>
  <c r="C31" i="4"/>
  <c r="C15" i="4"/>
  <c r="C68" i="4"/>
  <c r="C36" i="4"/>
  <c r="C115" i="4"/>
  <c r="C67" i="4"/>
  <c r="C35" i="4"/>
  <c r="C19" i="4"/>
  <c r="C74" i="4"/>
  <c r="C26" i="4"/>
  <c r="C108" i="4"/>
  <c r="C98" i="4"/>
  <c r="C87" i="4"/>
  <c r="C78" i="4"/>
  <c r="C70" i="4"/>
  <c r="C62" i="4"/>
  <c r="C54" i="4"/>
  <c r="C46" i="4"/>
  <c r="C38" i="4"/>
  <c r="C30" i="4"/>
  <c r="C22" i="4"/>
  <c r="C14" i="4"/>
  <c r="C6" i="4"/>
  <c r="C86" i="4"/>
  <c r="C44" i="4"/>
  <c r="C12" i="4"/>
  <c r="C104" i="4"/>
  <c r="C75" i="4"/>
  <c r="C27" i="4"/>
  <c r="C114" i="4"/>
  <c r="C66" i="4"/>
  <c r="C42" i="4"/>
  <c r="C18" i="4"/>
  <c r="C96" i="4"/>
  <c r="C60" i="4"/>
  <c r="C52" i="4"/>
  <c r="C20" i="4"/>
  <c r="C128" i="4"/>
  <c r="C83" i="4"/>
  <c r="C51" i="4"/>
  <c r="C11" i="4"/>
  <c r="C82" i="4"/>
  <c r="C50" i="4"/>
  <c r="C10" i="4"/>
  <c r="C59" i="4"/>
  <c r="C130" i="4"/>
  <c r="C103" i="4"/>
  <c r="C126" i="4"/>
  <c r="C112" i="4"/>
  <c r="C102" i="4"/>
  <c r="C91" i="4"/>
  <c r="C80" i="4"/>
  <c r="C72" i="4"/>
  <c r="C64" i="4"/>
  <c r="C56" i="4"/>
  <c r="C48" i="4"/>
  <c r="C40" i="4"/>
  <c r="C32" i="4"/>
  <c r="C24" i="4"/>
  <c r="C16" i="4"/>
  <c r="C8" i="4"/>
  <c r="C55" i="4"/>
  <c r="C39" i="4"/>
  <c r="C23" i="4"/>
  <c r="C7" i="4"/>
  <c r="C107" i="4"/>
  <c r="C76" i="4"/>
  <c r="C28" i="4"/>
  <c r="C94" i="4"/>
  <c r="C43" i="4"/>
  <c r="C92" i="4"/>
  <c r="C58" i="4"/>
  <c r="C34" i="4"/>
  <c r="C84" i="4"/>
  <c r="C116" i="4"/>
  <c r="C5" i="4"/>
  <c r="C29" i="4"/>
  <c r="C53" i="4"/>
  <c r="C77" i="4"/>
  <c r="C101" i="4"/>
  <c r="C125" i="4"/>
  <c r="C41" i="4"/>
  <c r="C113" i="4"/>
  <c r="C106" i="4"/>
  <c r="C117" i="4"/>
  <c r="C90" i="4"/>
  <c r="C123" i="4"/>
  <c r="C9" i="4"/>
  <c r="C33" i="4"/>
  <c r="C57" i="4"/>
  <c r="C81" i="4"/>
  <c r="C105" i="4"/>
  <c r="C129" i="4"/>
  <c r="C65" i="4"/>
  <c r="C21" i="4"/>
  <c r="C95" i="4"/>
  <c r="C127" i="4"/>
  <c r="C13" i="4"/>
  <c r="C37" i="4"/>
  <c r="C61" i="4"/>
  <c r="C85" i="4"/>
  <c r="C109" i="4"/>
  <c r="C131" i="4"/>
  <c r="C17" i="4"/>
  <c r="C69" i="4"/>
  <c r="C100" i="4"/>
  <c r="C93" i="4"/>
  <c r="C119" i="4"/>
  <c r="C111" i="4"/>
  <c r="C124" i="4"/>
  <c r="C25" i="4"/>
  <c r="C49" i="4"/>
  <c r="C73" i="4"/>
  <c r="C97" i="4"/>
  <c r="C121" i="4"/>
  <c r="C89" i="4"/>
  <c r="C45" i="4"/>
  <c r="C110" i="4" l="1"/>
  <c r="F110" i="4" s="1"/>
  <c r="C120" i="4"/>
  <c r="F120" i="4" s="1"/>
  <c r="C118" i="4"/>
  <c r="E118" i="4" s="1"/>
  <c r="C122" i="4"/>
  <c r="F122" i="4" s="1"/>
  <c r="D121" i="4"/>
  <c r="E121" i="4"/>
  <c r="F121" i="4"/>
  <c r="E111" i="4"/>
  <c r="F111" i="4"/>
  <c r="D111" i="4"/>
  <c r="D131" i="4"/>
  <c r="E131" i="4"/>
  <c r="F131" i="4"/>
  <c r="E127" i="4"/>
  <c r="D127" i="4"/>
  <c r="F127" i="4"/>
  <c r="F81" i="4"/>
  <c r="D81" i="4"/>
  <c r="E81" i="4"/>
  <c r="D117" i="4"/>
  <c r="F117" i="4"/>
  <c r="E117" i="4"/>
  <c r="D77" i="4"/>
  <c r="E77" i="4"/>
  <c r="F77" i="4"/>
  <c r="E34" i="4"/>
  <c r="D34" i="4"/>
  <c r="F34" i="4"/>
  <c r="F94" i="4"/>
  <c r="E94" i="4"/>
  <c r="D94" i="4"/>
  <c r="D28" i="4"/>
  <c r="F28" i="4"/>
  <c r="E28" i="4"/>
  <c r="E16" i="4"/>
  <c r="F16" i="4"/>
  <c r="D16" i="4"/>
  <c r="E64" i="4"/>
  <c r="D64" i="4"/>
  <c r="F64" i="4"/>
  <c r="F126" i="4"/>
  <c r="E126" i="4"/>
  <c r="D126" i="4"/>
  <c r="D128" i="4"/>
  <c r="F128" i="4"/>
  <c r="E128" i="4"/>
  <c r="E86" i="4"/>
  <c r="D86" i="4"/>
  <c r="F86" i="4"/>
  <c r="E38" i="4"/>
  <c r="F38" i="4"/>
  <c r="D38" i="4"/>
  <c r="E87" i="4"/>
  <c r="D87" i="4"/>
  <c r="F87" i="4"/>
  <c r="F74" i="4"/>
  <c r="E74" i="4"/>
  <c r="D74" i="4"/>
  <c r="F67" i="4"/>
  <c r="E67" i="4"/>
  <c r="D67" i="4"/>
  <c r="F47" i="4"/>
  <c r="E47" i="4"/>
  <c r="D47" i="4"/>
  <c r="D110" i="4"/>
  <c r="F97" i="4"/>
  <c r="D97" i="4"/>
  <c r="E97" i="4"/>
  <c r="E119" i="4"/>
  <c r="F119" i="4"/>
  <c r="D119" i="4"/>
  <c r="F109" i="4"/>
  <c r="D109" i="4"/>
  <c r="E109" i="4"/>
  <c r="E95" i="4"/>
  <c r="F95" i="4"/>
  <c r="D95" i="4"/>
  <c r="F57" i="4"/>
  <c r="D57" i="4"/>
  <c r="E57" i="4"/>
  <c r="F106" i="4"/>
  <c r="E106" i="4"/>
  <c r="D106" i="4"/>
  <c r="F53" i="4"/>
  <c r="D53" i="4"/>
  <c r="E53" i="4"/>
  <c r="E58" i="4"/>
  <c r="F58" i="4"/>
  <c r="D58" i="4"/>
  <c r="D76" i="4"/>
  <c r="F76" i="4"/>
  <c r="E76" i="4"/>
  <c r="F7" i="4"/>
  <c r="E7" i="4"/>
  <c r="D7" i="4"/>
  <c r="F24" i="4"/>
  <c r="E24" i="4"/>
  <c r="D24" i="4"/>
  <c r="E72" i="4"/>
  <c r="D72" i="4"/>
  <c r="F72" i="4"/>
  <c r="E10" i="4"/>
  <c r="D10" i="4"/>
  <c r="F10" i="4"/>
  <c r="F20" i="4"/>
  <c r="E20" i="4"/>
  <c r="D20" i="4"/>
  <c r="E46" i="4"/>
  <c r="D46" i="4"/>
  <c r="F46" i="4"/>
  <c r="F98" i="4"/>
  <c r="E98" i="4"/>
  <c r="D98" i="4"/>
  <c r="E115" i="4"/>
  <c r="F115" i="4"/>
  <c r="D115" i="4"/>
  <c r="F63" i="4"/>
  <c r="D63" i="4"/>
  <c r="E63" i="4"/>
  <c r="D73" i="4"/>
  <c r="E73" i="4"/>
  <c r="F73" i="4"/>
  <c r="E93" i="4"/>
  <c r="D93" i="4"/>
  <c r="F93" i="4"/>
  <c r="D85" i="4"/>
  <c r="F85" i="4"/>
  <c r="E85" i="4"/>
  <c r="E21" i="4"/>
  <c r="D21" i="4"/>
  <c r="F21" i="4"/>
  <c r="F33" i="4"/>
  <c r="E33" i="4"/>
  <c r="D33" i="4"/>
  <c r="F113" i="4"/>
  <c r="E113" i="4"/>
  <c r="D113" i="4"/>
  <c r="E29" i="4"/>
  <c r="F29" i="4"/>
  <c r="D29" i="4"/>
  <c r="D92" i="4"/>
  <c r="F92" i="4"/>
  <c r="E92" i="4"/>
  <c r="D107" i="4"/>
  <c r="F107" i="4"/>
  <c r="E107" i="4"/>
  <c r="F23" i="4"/>
  <c r="E23" i="4"/>
  <c r="D23" i="4"/>
  <c r="D32" i="4"/>
  <c r="F32" i="4"/>
  <c r="E32" i="4"/>
  <c r="D80" i="4"/>
  <c r="F80" i="4"/>
  <c r="E80" i="4"/>
  <c r="E103" i="4"/>
  <c r="F103" i="4"/>
  <c r="D103" i="4"/>
  <c r="E50" i="4"/>
  <c r="F50" i="4"/>
  <c r="D50" i="4"/>
  <c r="D52" i="4"/>
  <c r="F52" i="4"/>
  <c r="E52" i="4"/>
  <c r="E18" i="4"/>
  <c r="F18" i="4"/>
  <c r="D18" i="4"/>
  <c r="F27" i="4"/>
  <c r="E27" i="4"/>
  <c r="D27" i="4"/>
  <c r="E6" i="4"/>
  <c r="D6" i="4"/>
  <c r="F6" i="4"/>
  <c r="E54" i="4"/>
  <c r="D54" i="4"/>
  <c r="F54" i="4"/>
  <c r="F108" i="4"/>
  <c r="E108" i="4"/>
  <c r="D108" i="4"/>
  <c r="E36" i="4"/>
  <c r="F36" i="4"/>
  <c r="D36" i="4"/>
  <c r="E71" i="4"/>
  <c r="F71" i="4"/>
  <c r="D71" i="4"/>
  <c r="F49" i="4"/>
  <c r="E49" i="4"/>
  <c r="D49" i="4"/>
  <c r="D100" i="4"/>
  <c r="E100" i="4"/>
  <c r="F100" i="4"/>
  <c r="E61" i="4"/>
  <c r="F61" i="4"/>
  <c r="D61" i="4"/>
  <c r="F65" i="4"/>
  <c r="E65" i="4"/>
  <c r="D65" i="4"/>
  <c r="D9" i="4"/>
  <c r="F9" i="4"/>
  <c r="E9" i="4"/>
  <c r="F41" i="4"/>
  <c r="E41" i="4"/>
  <c r="D41" i="4"/>
  <c r="E5" i="4"/>
  <c r="D5" i="4"/>
  <c r="F5" i="4"/>
  <c r="F39" i="4"/>
  <c r="D39" i="4"/>
  <c r="E39" i="4"/>
  <c r="E40" i="4"/>
  <c r="D40" i="4"/>
  <c r="F40" i="4"/>
  <c r="D91" i="4"/>
  <c r="F91" i="4"/>
  <c r="E91" i="4"/>
  <c r="F82" i="4"/>
  <c r="D82" i="4"/>
  <c r="E82" i="4"/>
  <c r="F11" i="4"/>
  <c r="E11" i="4"/>
  <c r="D11" i="4"/>
  <c r="D60" i="4"/>
  <c r="E60" i="4"/>
  <c r="F60" i="4"/>
  <c r="E42" i="4"/>
  <c r="F42" i="4"/>
  <c r="D42" i="4"/>
  <c r="D75" i="4"/>
  <c r="F75" i="4"/>
  <c r="E75" i="4"/>
  <c r="E14" i="4"/>
  <c r="D14" i="4"/>
  <c r="F14" i="4"/>
  <c r="E62" i="4"/>
  <c r="D62" i="4"/>
  <c r="F62" i="4"/>
  <c r="D120" i="4"/>
  <c r="E120" i="4"/>
  <c r="F68" i="4"/>
  <c r="E68" i="4"/>
  <c r="D68" i="4"/>
  <c r="E79" i="4"/>
  <c r="D79" i="4"/>
  <c r="F79" i="4"/>
  <c r="D45" i="4"/>
  <c r="E45" i="4"/>
  <c r="F45" i="4"/>
  <c r="E25" i="4"/>
  <c r="F25" i="4"/>
  <c r="D25" i="4"/>
  <c r="D69" i="4"/>
  <c r="E69" i="4"/>
  <c r="F69" i="4"/>
  <c r="F37" i="4"/>
  <c r="E37" i="4"/>
  <c r="D37" i="4"/>
  <c r="F129" i="4"/>
  <c r="D129" i="4"/>
  <c r="E129" i="4"/>
  <c r="F123" i="4"/>
  <c r="D123" i="4"/>
  <c r="E123" i="4"/>
  <c r="E125" i="4"/>
  <c r="D125" i="4"/>
  <c r="F125" i="4"/>
  <c r="F116" i="4"/>
  <c r="E116" i="4"/>
  <c r="D116" i="4"/>
  <c r="F55" i="4"/>
  <c r="D55" i="4"/>
  <c r="E55" i="4"/>
  <c r="F48" i="4"/>
  <c r="E48" i="4"/>
  <c r="D48" i="4"/>
  <c r="E102" i="4"/>
  <c r="F102" i="4"/>
  <c r="D102" i="4"/>
  <c r="F59" i="4"/>
  <c r="D59" i="4"/>
  <c r="E59" i="4"/>
  <c r="F51" i="4"/>
  <c r="E51" i="4"/>
  <c r="D51" i="4"/>
  <c r="E96" i="4"/>
  <c r="D96" i="4"/>
  <c r="F96" i="4"/>
  <c r="F66" i="4"/>
  <c r="E66" i="4"/>
  <c r="D66" i="4"/>
  <c r="D104" i="4"/>
  <c r="F104" i="4"/>
  <c r="E104" i="4"/>
  <c r="E12" i="4"/>
  <c r="F12" i="4"/>
  <c r="D12" i="4"/>
  <c r="E22" i="4"/>
  <c r="D22" i="4"/>
  <c r="F22" i="4"/>
  <c r="F70" i="4"/>
  <c r="E70" i="4"/>
  <c r="D70" i="4"/>
  <c r="F19" i="4"/>
  <c r="E19" i="4"/>
  <c r="D19" i="4"/>
  <c r="F15" i="4"/>
  <c r="E15" i="4"/>
  <c r="D15" i="4"/>
  <c r="D88" i="4"/>
  <c r="F88" i="4"/>
  <c r="E88" i="4"/>
  <c r="E89" i="4"/>
  <c r="F89" i="4"/>
  <c r="D89" i="4"/>
  <c r="D124" i="4"/>
  <c r="F124" i="4"/>
  <c r="E124" i="4"/>
  <c r="F17" i="4"/>
  <c r="E17" i="4"/>
  <c r="D17" i="4"/>
  <c r="F13" i="4"/>
  <c r="D13" i="4"/>
  <c r="E13" i="4"/>
  <c r="F105" i="4"/>
  <c r="D105" i="4"/>
  <c r="E105" i="4"/>
  <c r="F90" i="4"/>
  <c r="D90" i="4"/>
  <c r="E90" i="4"/>
  <c r="D101" i="4"/>
  <c r="E101" i="4"/>
  <c r="F101" i="4"/>
  <c r="D84" i="4"/>
  <c r="E84" i="4"/>
  <c r="F84" i="4"/>
  <c r="F43" i="4"/>
  <c r="E43" i="4"/>
  <c r="D43" i="4"/>
  <c r="E8" i="4"/>
  <c r="D8" i="4"/>
  <c r="F8" i="4"/>
  <c r="F56" i="4"/>
  <c r="E56" i="4"/>
  <c r="D56" i="4"/>
  <c r="D112" i="4"/>
  <c r="F112" i="4"/>
  <c r="E112" i="4"/>
  <c r="E130" i="4"/>
  <c r="D130" i="4"/>
  <c r="F130" i="4"/>
  <c r="E83" i="4"/>
  <c r="D83" i="4"/>
  <c r="F83" i="4"/>
  <c r="E114" i="4"/>
  <c r="F114" i="4"/>
  <c r="D114" i="4"/>
  <c r="F44" i="4"/>
  <c r="E44" i="4"/>
  <c r="D44" i="4"/>
  <c r="E30" i="4"/>
  <c r="F30" i="4"/>
  <c r="D30" i="4"/>
  <c r="F78" i="4"/>
  <c r="D78" i="4"/>
  <c r="E78" i="4"/>
  <c r="E26" i="4"/>
  <c r="D26" i="4"/>
  <c r="F26" i="4"/>
  <c r="F35" i="4"/>
  <c r="E35" i="4"/>
  <c r="D35" i="4"/>
  <c r="F31" i="4"/>
  <c r="E31" i="4"/>
  <c r="D31" i="4"/>
  <c r="E99" i="4"/>
  <c r="D99" i="4"/>
  <c r="F99" i="4"/>
  <c r="F118" i="4" l="1"/>
  <c r="D122" i="4"/>
  <c r="E110" i="4"/>
  <c r="D118" i="4"/>
  <c r="E122" i="4"/>
</calcChain>
</file>

<file path=xl/sharedStrings.xml><?xml version="1.0" encoding="utf-8"?>
<sst xmlns="http://schemas.openxmlformats.org/spreadsheetml/2006/main" count="4435" uniqueCount="926">
  <si>
    <t>Region</t>
  </si>
  <si>
    <t>Technology</t>
  </si>
  <si>
    <t>People</t>
  </si>
  <si>
    <t>Governance</t>
  </si>
  <si>
    <t>Impact</t>
  </si>
  <si>
    <t>Rank</t>
  </si>
  <si>
    <t>Score</t>
  </si>
  <si>
    <t>Economy</t>
  </si>
  <si>
    <t>Income</t>
  </si>
  <si>
    <t>Netherlands</t>
  </si>
  <si>
    <t>Europe</t>
  </si>
  <si>
    <t>Sweden</t>
  </si>
  <si>
    <t>Denmark</t>
  </si>
  <si>
    <t>Finland</t>
  </si>
  <si>
    <t>Switzerland</t>
  </si>
  <si>
    <t>Singapore</t>
  </si>
  <si>
    <t>Germany</t>
  </si>
  <si>
    <t>Norway</t>
  </si>
  <si>
    <t>United Kingdom</t>
  </si>
  <si>
    <t>NRI rank</t>
  </si>
  <si>
    <t>NRI score</t>
  </si>
  <si>
    <t>PILLARS</t>
  </si>
  <si>
    <t>South Africa</t>
  </si>
  <si>
    <t>Mauritius</t>
  </si>
  <si>
    <t>Egypt</t>
  </si>
  <si>
    <t>Africa</t>
  </si>
  <si>
    <t>United Arab Emirates</t>
  </si>
  <si>
    <t>Saudi Arabia</t>
  </si>
  <si>
    <t>Qatar</t>
  </si>
  <si>
    <t>Arab States</t>
  </si>
  <si>
    <t>Australia</t>
  </si>
  <si>
    <t>Asia &amp; Pacific</t>
  </si>
  <si>
    <t>Ukraine</t>
  </si>
  <si>
    <t>Armenia</t>
  </si>
  <si>
    <t>CIS</t>
  </si>
  <si>
    <t>Canada</t>
  </si>
  <si>
    <t>Chile</t>
  </si>
  <si>
    <t>The Americas</t>
  </si>
  <si>
    <t>Note: Global ranks in parentheses. CIS = Commonwealth of Independent States.</t>
  </si>
  <si>
    <t>High-income economies</t>
  </si>
  <si>
    <t>TABLE 2: TOP 3 ECONOMIES BY REGION</t>
  </si>
  <si>
    <t>China</t>
  </si>
  <si>
    <t>Malaysia</t>
  </si>
  <si>
    <t>Upper middle-income economies</t>
  </si>
  <si>
    <t>India</t>
  </si>
  <si>
    <t>Lower middle-income economies</t>
  </si>
  <si>
    <t>Rwanda</t>
  </si>
  <si>
    <t>Low-income economies</t>
  </si>
  <si>
    <t>Note: Global ranks in parentheses.</t>
  </si>
  <si>
    <t>TABLE 3: TOP 3 COUNTRIES BY INCOME GROUP</t>
  </si>
  <si>
    <t>France</t>
  </si>
  <si>
    <t>Austria</t>
  </si>
  <si>
    <t>Japan</t>
  </si>
  <si>
    <t>Luxembourg</t>
  </si>
  <si>
    <t>Belgium</t>
  </si>
  <si>
    <t>Ireland</t>
  </si>
  <si>
    <t>New Zealand</t>
  </si>
  <si>
    <t>Estonia</t>
  </si>
  <si>
    <t>Israel</t>
  </si>
  <si>
    <t>Spain</t>
  </si>
  <si>
    <t>Iceland</t>
  </si>
  <si>
    <t>Slovenia</t>
  </si>
  <si>
    <t>Malta</t>
  </si>
  <si>
    <t>Italy</t>
  </si>
  <si>
    <t>Lithuania</t>
  </si>
  <si>
    <t>Portugal</t>
  </si>
  <si>
    <t>Poland</t>
  </si>
  <si>
    <t>Slovakia</t>
  </si>
  <si>
    <t>Latvia</t>
  </si>
  <si>
    <t>Hungary</t>
  </si>
  <si>
    <t>Cyprus</t>
  </si>
  <si>
    <t>Croatia</t>
  </si>
  <si>
    <t>Greece</t>
  </si>
  <si>
    <t>Romania</t>
  </si>
  <si>
    <t>Oman</t>
  </si>
  <si>
    <t>Uruguay</t>
  </si>
  <si>
    <t>Bulgaria</t>
  </si>
  <si>
    <t>Bahrain</t>
  </si>
  <si>
    <t>Brazil</t>
  </si>
  <si>
    <t>Thailand</t>
  </si>
  <si>
    <t>Kuwait</t>
  </si>
  <si>
    <t>Costa Rica</t>
  </si>
  <si>
    <t>Serbia</t>
  </si>
  <si>
    <t>Argentina</t>
  </si>
  <si>
    <t>Mexico</t>
  </si>
  <si>
    <t>Kazakhstan</t>
  </si>
  <si>
    <t>Montenegro</t>
  </si>
  <si>
    <t>North Macedonia</t>
  </si>
  <si>
    <t>Colombia</t>
  </si>
  <si>
    <t>Indonesia</t>
  </si>
  <si>
    <t>Georgia</t>
  </si>
  <si>
    <t>Jordan</t>
  </si>
  <si>
    <t>Peru</t>
  </si>
  <si>
    <t>Jamaica</t>
  </si>
  <si>
    <t>Panama</t>
  </si>
  <si>
    <t>Azerbaijan</t>
  </si>
  <si>
    <t>Sri Lanka</t>
  </si>
  <si>
    <t>Albania</t>
  </si>
  <si>
    <t>Morocco</t>
  </si>
  <si>
    <t>Dominican Republic</t>
  </si>
  <si>
    <t>Philippines</t>
  </si>
  <si>
    <t>Kenya</t>
  </si>
  <si>
    <t>Trinidad and Tobago</t>
  </si>
  <si>
    <t>Bosnia and Herzegovina</t>
  </si>
  <si>
    <t>Tunisia</t>
  </si>
  <si>
    <t>Paraguay</t>
  </si>
  <si>
    <t>Mongolia</t>
  </si>
  <si>
    <t>Ecuador</t>
  </si>
  <si>
    <t>Cabo Verde</t>
  </si>
  <si>
    <t>Kyrgyzstan</t>
  </si>
  <si>
    <t>Bangladesh</t>
  </si>
  <si>
    <t>Ghana</t>
  </si>
  <si>
    <t>Pakistan</t>
  </si>
  <si>
    <t>El Salvador</t>
  </si>
  <si>
    <t>Senegal</t>
  </si>
  <si>
    <t>Algeria</t>
  </si>
  <si>
    <t>Botswana</t>
  </si>
  <si>
    <t>Nigeria</t>
  </si>
  <si>
    <t>Honduras</t>
  </si>
  <si>
    <t>Guatemala</t>
  </si>
  <si>
    <t>Cambodia</t>
  </si>
  <si>
    <t>Namibia</t>
  </si>
  <si>
    <t>Zambia</t>
  </si>
  <si>
    <t>Cameroon</t>
  </si>
  <si>
    <t>Nepal</t>
  </si>
  <si>
    <t>Uganda</t>
  </si>
  <si>
    <t>Burkina Faso</t>
  </si>
  <si>
    <t>Mali</t>
  </si>
  <si>
    <t>Malawi</t>
  </si>
  <si>
    <t>Madagascar</t>
  </si>
  <si>
    <t>Zimbabwe</t>
  </si>
  <si>
    <t>Lesotho</t>
  </si>
  <si>
    <t>Mozambique</t>
  </si>
  <si>
    <t>Angola</t>
  </si>
  <si>
    <t>Ethiopia</t>
  </si>
  <si>
    <t>Burundi</t>
  </si>
  <si>
    <t>Russian Federation</t>
  </si>
  <si>
    <t>Viet Nam</t>
  </si>
  <si>
    <t>Note: CIS = Commonwealth of Independent States.</t>
  </si>
  <si>
    <t>NRI ranking</t>
  </si>
  <si>
    <t>NL</t>
  </si>
  <si>
    <t>SE</t>
  </si>
  <si>
    <t>DK</t>
  </si>
  <si>
    <t>US</t>
  </si>
  <si>
    <t>FI</t>
  </si>
  <si>
    <t>CH</t>
  </si>
  <si>
    <t>SG</t>
  </si>
  <si>
    <t>DE</t>
  </si>
  <si>
    <t>NO</t>
  </si>
  <si>
    <t>GB</t>
  </si>
  <si>
    <t>CA</t>
  </si>
  <si>
    <t>KR</t>
  </si>
  <si>
    <t>AU</t>
  </si>
  <si>
    <t>FR</t>
  </si>
  <si>
    <t>AT</t>
  </si>
  <si>
    <t>JP</t>
  </si>
  <si>
    <t>LU</t>
  </si>
  <si>
    <t>BE</t>
  </si>
  <si>
    <t>IE</t>
  </si>
  <si>
    <t>NZ</t>
  </si>
  <si>
    <t>EE</t>
  </si>
  <si>
    <t>IL</t>
  </si>
  <si>
    <t>ES</t>
  </si>
  <si>
    <t>CZ</t>
  </si>
  <si>
    <t>IS</t>
  </si>
  <si>
    <t>SI</t>
  </si>
  <si>
    <t>MT</t>
  </si>
  <si>
    <t>IT</t>
  </si>
  <si>
    <t>CN</t>
  </si>
  <si>
    <t>LT</t>
  </si>
  <si>
    <t>PT</t>
  </si>
  <si>
    <t>HK</t>
  </si>
  <si>
    <t>PL</t>
  </si>
  <si>
    <t>AE</t>
  </si>
  <si>
    <t>SK</t>
  </si>
  <si>
    <t>LV</t>
  </si>
  <si>
    <t>HU</t>
  </si>
  <si>
    <t>MY</t>
  </si>
  <si>
    <t>CY</t>
  </si>
  <si>
    <t>SA</t>
  </si>
  <si>
    <t>HR</t>
  </si>
  <si>
    <t>QA</t>
  </si>
  <si>
    <t>RU</t>
  </si>
  <si>
    <t>CL</t>
  </si>
  <si>
    <t>TR</t>
  </si>
  <si>
    <t>GR</t>
  </si>
  <si>
    <t>RO</t>
  </si>
  <si>
    <t>OM</t>
  </si>
  <si>
    <t>UY</t>
  </si>
  <si>
    <t>BG</t>
  </si>
  <si>
    <t>BH</t>
  </si>
  <si>
    <t>BR</t>
  </si>
  <si>
    <t>UA</t>
  </si>
  <si>
    <t>TH</t>
  </si>
  <si>
    <t>KW</t>
  </si>
  <si>
    <t>CR</t>
  </si>
  <si>
    <t>RS</t>
  </si>
  <si>
    <t>AR</t>
  </si>
  <si>
    <t>MX</t>
  </si>
  <si>
    <t>AM</t>
  </si>
  <si>
    <t>KZ</t>
  </si>
  <si>
    <t>ME</t>
  </si>
  <si>
    <t>VN</t>
  </si>
  <si>
    <t>MK</t>
  </si>
  <si>
    <t>CO</t>
  </si>
  <si>
    <t>ID</t>
  </si>
  <si>
    <t>IN</t>
  </si>
  <si>
    <t>GE</t>
  </si>
  <si>
    <t>MD</t>
  </si>
  <si>
    <t>ZA</t>
  </si>
  <si>
    <t>MU</t>
  </si>
  <si>
    <t>JO</t>
  </si>
  <si>
    <t>PE</t>
  </si>
  <si>
    <t>JM</t>
  </si>
  <si>
    <t>PA</t>
  </si>
  <si>
    <t>AZ</t>
  </si>
  <si>
    <t>EG</t>
  </si>
  <si>
    <t>LK</t>
  </si>
  <si>
    <t>IR</t>
  </si>
  <si>
    <t>AL</t>
  </si>
  <si>
    <t>MA</t>
  </si>
  <si>
    <t>DO</t>
  </si>
  <si>
    <t>PH</t>
  </si>
  <si>
    <t>KE</t>
  </si>
  <si>
    <t>TT</t>
  </si>
  <si>
    <t>BA</t>
  </si>
  <si>
    <t>TN</t>
  </si>
  <si>
    <t>PY</t>
  </si>
  <si>
    <t>MN</t>
  </si>
  <si>
    <t>EC</t>
  </si>
  <si>
    <t>CV</t>
  </si>
  <si>
    <t>KG</t>
  </si>
  <si>
    <t>BO</t>
  </si>
  <si>
    <t>BD</t>
  </si>
  <si>
    <t>GH</t>
  </si>
  <si>
    <t>PK</t>
  </si>
  <si>
    <t>SV</t>
  </si>
  <si>
    <t>SN</t>
  </si>
  <si>
    <t>DZ</t>
  </si>
  <si>
    <t>RW</t>
  </si>
  <si>
    <t>BW</t>
  </si>
  <si>
    <t>NG</t>
  </si>
  <si>
    <t>HN</t>
  </si>
  <si>
    <t>GT</t>
  </si>
  <si>
    <t>KH</t>
  </si>
  <si>
    <t>TZ</t>
  </si>
  <si>
    <t>CI</t>
  </si>
  <si>
    <t>NA</t>
  </si>
  <si>
    <t>LA</t>
  </si>
  <si>
    <t>ZM</t>
  </si>
  <si>
    <t>CM</t>
  </si>
  <si>
    <t>NP</t>
  </si>
  <si>
    <t>UG</t>
  </si>
  <si>
    <t>BF</t>
  </si>
  <si>
    <t>ML</t>
  </si>
  <si>
    <t>MW</t>
  </si>
  <si>
    <t>MG</t>
  </si>
  <si>
    <t>ZW</t>
  </si>
  <si>
    <t>LS</t>
  </si>
  <si>
    <t>MZ</t>
  </si>
  <si>
    <t>AO</t>
  </si>
  <si>
    <t>ET</t>
  </si>
  <si>
    <t>BI</t>
  </si>
  <si>
    <t>CODE</t>
  </si>
  <si>
    <t>ECONOMY</t>
  </si>
  <si>
    <t>Country/Economy codes for the chart</t>
  </si>
  <si>
    <t>Access</t>
  </si>
  <si>
    <t>Content</t>
  </si>
  <si>
    <t>Individuals</t>
  </si>
  <si>
    <t>Businesses</t>
  </si>
  <si>
    <t>Governments</t>
  </si>
  <si>
    <t>Trust</t>
  </si>
  <si>
    <t>Regulation</t>
  </si>
  <si>
    <t>Inclusion</t>
  </si>
  <si>
    <t>Quality of life</t>
  </si>
  <si>
    <t>SDG Contribution</t>
  </si>
  <si>
    <t>Future
Technologies</t>
  </si>
  <si>
    <t>SUB-PILLARS</t>
  </si>
  <si>
    <t>PILLAR</t>
  </si>
  <si>
    <t>Page</t>
  </si>
  <si>
    <t>Country</t>
  </si>
  <si>
    <t>United States of America</t>
  </si>
  <si>
    <t>Republic of Korea</t>
  </si>
  <si>
    <t>SUBPILLARS</t>
  </si>
  <si>
    <t>Future Technologies</t>
  </si>
  <si>
    <t>Quality of Life</t>
  </si>
  <si>
    <t>SGP</t>
  </si>
  <si>
    <t>SWE</t>
  </si>
  <si>
    <t>NLD</t>
  </si>
  <si>
    <t>CHE</t>
  </si>
  <si>
    <t>DNK</t>
  </si>
  <si>
    <t>USA</t>
  </si>
  <si>
    <t>FIN</t>
  </si>
  <si>
    <t>NOR</t>
  </si>
  <si>
    <t>DEU</t>
  </si>
  <si>
    <t>KOR</t>
  </si>
  <si>
    <t>CAN</t>
  </si>
  <si>
    <t>GBR</t>
  </si>
  <si>
    <t>JPN</t>
  </si>
  <si>
    <t>AUS</t>
  </si>
  <si>
    <t>ISR</t>
  </si>
  <si>
    <t>FRA</t>
  </si>
  <si>
    <t>LUX</t>
  </si>
  <si>
    <t>AUT</t>
  </si>
  <si>
    <t>NZL</t>
  </si>
  <si>
    <t>IRL</t>
  </si>
  <si>
    <t>BEL</t>
  </si>
  <si>
    <t>EST</t>
  </si>
  <si>
    <t>ISL</t>
  </si>
  <si>
    <t>CHN</t>
  </si>
  <si>
    <t>CZE</t>
  </si>
  <si>
    <t>Czechia</t>
  </si>
  <si>
    <t>ESP</t>
  </si>
  <si>
    <t>ARE</t>
  </si>
  <si>
    <t>HKG</t>
  </si>
  <si>
    <t>Hong Kong, China</t>
  </si>
  <si>
    <t>SVN</t>
  </si>
  <si>
    <t>PRT</t>
  </si>
  <si>
    <t>MLT</t>
  </si>
  <si>
    <t>ITA</t>
  </si>
  <si>
    <t>LTU</t>
  </si>
  <si>
    <t>SAU</t>
  </si>
  <si>
    <t>POL</t>
  </si>
  <si>
    <t>MYS</t>
  </si>
  <si>
    <t>SVK</t>
  </si>
  <si>
    <t>CYP</t>
  </si>
  <si>
    <t>RUS</t>
  </si>
  <si>
    <t>LVA</t>
  </si>
  <si>
    <t>HUN</t>
  </si>
  <si>
    <t>QAT</t>
  </si>
  <si>
    <t>CHL</t>
  </si>
  <si>
    <t>BRA</t>
  </si>
  <si>
    <t>THA</t>
  </si>
  <si>
    <t>URY</t>
  </si>
  <si>
    <t>HRV</t>
  </si>
  <si>
    <t>UKR</t>
  </si>
  <si>
    <t>TUR</t>
  </si>
  <si>
    <t>Turkiye</t>
  </si>
  <si>
    <t>OMN</t>
  </si>
  <si>
    <t>GRC</t>
  </si>
  <si>
    <t>BGR</t>
  </si>
  <si>
    <t>BHR</t>
  </si>
  <si>
    <t>ROU</t>
  </si>
  <si>
    <t>CRI</t>
  </si>
  <si>
    <t>SRB</t>
  </si>
  <si>
    <t>ARG</t>
  </si>
  <si>
    <t>KAZ</t>
  </si>
  <si>
    <t>IDN</t>
  </si>
  <si>
    <t>KWT</t>
  </si>
  <si>
    <t>MEX</t>
  </si>
  <si>
    <t>ARM</t>
  </si>
  <si>
    <t>VNM</t>
  </si>
  <si>
    <t>MDA</t>
  </si>
  <si>
    <t>Republic of Moldova</t>
  </si>
  <si>
    <t>IND</t>
  </si>
  <si>
    <t>COL</t>
  </si>
  <si>
    <t>MNE</t>
  </si>
  <si>
    <t>MKD</t>
  </si>
  <si>
    <t>ZAF</t>
  </si>
  <si>
    <t>MUS</t>
  </si>
  <si>
    <t>JOR</t>
  </si>
  <si>
    <t>AZE</t>
  </si>
  <si>
    <t>PHL</t>
  </si>
  <si>
    <t>GEO</t>
  </si>
  <si>
    <t>EGY</t>
  </si>
  <si>
    <t>JAM</t>
  </si>
  <si>
    <t>KEN</t>
  </si>
  <si>
    <t>ALB</t>
  </si>
  <si>
    <t>PER</t>
  </si>
  <si>
    <t>MAR</t>
  </si>
  <si>
    <t>LKA</t>
  </si>
  <si>
    <t>PAN</t>
  </si>
  <si>
    <t>DOM</t>
  </si>
  <si>
    <t>IRN</t>
  </si>
  <si>
    <t>Iran (Islamic Republic of)</t>
  </si>
  <si>
    <t>TUN</t>
  </si>
  <si>
    <t>MNG</t>
  </si>
  <si>
    <t>ECU</t>
  </si>
  <si>
    <t>BIH</t>
  </si>
  <si>
    <t>BGD</t>
  </si>
  <si>
    <t>PRY</t>
  </si>
  <si>
    <t>PAK</t>
  </si>
  <si>
    <t>SLV</t>
  </si>
  <si>
    <t>KGZ</t>
  </si>
  <si>
    <t>BOL</t>
  </si>
  <si>
    <t>Bolivia (Plurinational State of)</t>
  </si>
  <si>
    <t>CPV</t>
  </si>
  <si>
    <t>LAO</t>
  </si>
  <si>
    <t>Lao People's Democratic Republic</t>
  </si>
  <si>
    <t>CIV</t>
  </si>
  <si>
    <t>Cote d'Ivoire</t>
  </si>
  <si>
    <t>SEN</t>
  </si>
  <si>
    <t>RWA</t>
  </si>
  <si>
    <t>DZA</t>
  </si>
  <si>
    <t>HND</t>
  </si>
  <si>
    <t>GHA</t>
  </si>
  <si>
    <t>KHM</t>
  </si>
  <si>
    <t>GTM</t>
  </si>
  <si>
    <t>BWA</t>
  </si>
  <si>
    <t>TZA</t>
  </si>
  <si>
    <t>United Republic of Tanzania</t>
  </si>
  <si>
    <t>NGA</t>
  </si>
  <si>
    <t>BEN</t>
  </si>
  <si>
    <t>Benin</t>
  </si>
  <si>
    <t>NPL</t>
  </si>
  <si>
    <t>ZMB</t>
  </si>
  <si>
    <t>CMR</t>
  </si>
  <si>
    <t>UGA</t>
  </si>
  <si>
    <t>NAM</t>
  </si>
  <si>
    <t>ZWE</t>
  </si>
  <si>
    <t>MWI</t>
  </si>
  <si>
    <t>MDG</t>
  </si>
  <si>
    <t>MLI</t>
  </si>
  <si>
    <t>BFA</t>
  </si>
  <si>
    <t>ETH</t>
  </si>
  <si>
    <t>LSO</t>
  </si>
  <si>
    <t>MOZ</t>
  </si>
  <si>
    <t>AGO</t>
  </si>
  <si>
    <t>BDI</t>
  </si>
  <si>
    <t>score</t>
  </si>
  <si>
    <t>ranking</t>
  </si>
  <si>
    <t>ISO3Code</t>
  </si>
  <si>
    <t>rank</t>
  </si>
  <si>
    <t>NRI</t>
  </si>
  <si>
    <t>1.</t>
  </si>
  <si>
    <t>2.</t>
  </si>
  <si>
    <t>3.</t>
  </si>
  <si>
    <t>4.</t>
  </si>
  <si>
    <t>1.1.</t>
  </si>
  <si>
    <t>1.2.</t>
  </si>
  <si>
    <t>1.3.</t>
  </si>
  <si>
    <t>2.1.</t>
  </si>
  <si>
    <t>2.2.</t>
  </si>
  <si>
    <t>2.3.</t>
  </si>
  <si>
    <t>3.1.</t>
  </si>
  <si>
    <t>3.2.</t>
  </si>
  <si>
    <t>3.3.</t>
  </si>
  <si>
    <t>4.1.</t>
  </si>
  <si>
    <t>4.2.</t>
  </si>
  <si>
    <t>4.3.</t>
  </si>
  <si>
    <t>Mobile tariffs</t>
  </si>
  <si>
    <t>Handset prices</t>
  </si>
  <si>
    <t>FTTH/building Internet subscriptions</t>
  </si>
  <si>
    <t>Population covered by at least a 3G mobile network</t>
  </si>
  <si>
    <t>International Internet bandwidth</t>
  </si>
  <si>
    <t>Internet access in schools</t>
  </si>
  <si>
    <t>GitHub commits</t>
  </si>
  <si>
    <t>Internet domain registrations</t>
  </si>
  <si>
    <t>Mobile apps development</t>
  </si>
  <si>
    <t>AI scientific publications</t>
  </si>
  <si>
    <t>Adoption of emerging technologies</t>
  </si>
  <si>
    <t>Investment in emerging technologies</t>
  </si>
  <si>
    <t>Robot density</t>
  </si>
  <si>
    <t>Computer software spending</t>
  </si>
  <si>
    <t>ICT skills in the education system</t>
  </si>
  <si>
    <t>Adult literacy rate</t>
  </si>
  <si>
    <t>AI talent concentration</t>
  </si>
  <si>
    <t>Firms with website</t>
  </si>
  <si>
    <t>Annual investment in telecommunication services</t>
  </si>
  <si>
    <t>Government online services</t>
  </si>
  <si>
    <t>Secure Internet servers</t>
  </si>
  <si>
    <t>Cybersecurity</t>
  </si>
  <si>
    <t>Online access to financial account</t>
  </si>
  <si>
    <t>Internet shopping</t>
  </si>
  <si>
    <t>Regulatory quality</t>
  </si>
  <si>
    <t>ICT regulatory environment</t>
  </si>
  <si>
    <t>Regulation of emerging technologies</t>
  </si>
  <si>
    <t>E-commerce legislation</t>
  </si>
  <si>
    <t>Privacy protection by law content</t>
  </si>
  <si>
    <t>E-Participation</t>
  </si>
  <si>
    <t>Socioeconomic gap in use of digital payments</t>
  </si>
  <si>
    <t>Gender gap in Internet use</t>
  </si>
  <si>
    <t>ICT services exports</t>
  </si>
  <si>
    <t>Freedom to make life choices</t>
  </si>
  <si>
    <t>Income inequality</t>
  </si>
  <si>
    <t>Healthy life expectancy at birth</t>
  </si>
  <si>
    <t>SDG 3: Good Health and Well-Being</t>
  </si>
  <si>
    <t>SDG 4: Quality Education</t>
  </si>
  <si>
    <t>SDG 5: Women's economic opportunity</t>
  </si>
  <si>
    <t>SDG 7: Affordable and Clean Energy</t>
  </si>
  <si>
    <t>SDG 11: Sustainable Cities and Communities</t>
  </si>
  <si>
    <t>1.1.1</t>
  </si>
  <si>
    <t>1.1.2</t>
  </si>
  <si>
    <t>1.1.3</t>
  </si>
  <si>
    <t>1.1.4</t>
  </si>
  <si>
    <t>1.1.5</t>
  </si>
  <si>
    <t>1.1.6</t>
  </si>
  <si>
    <t>1.2.1</t>
  </si>
  <si>
    <t>1.2.2</t>
  </si>
  <si>
    <t>1.2.3</t>
  </si>
  <si>
    <t>1.2.4</t>
  </si>
  <si>
    <t>1.3.1</t>
  </si>
  <si>
    <t>1.3.2</t>
  </si>
  <si>
    <t>1.3.3</t>
  </si>
  <si>
    <t>1.3.4</t>
  </si>
  <si>
    <t>2.1.1</t>
  </si>
  <si>
    <t>2.1.2</t>
  </si>
  <si>
    <t>2.1.3</t>
  </si>
  <si>
    <t>2.1.4</t>
  </si>
  <si>
    <t>2.1.5</t>
  </si>
  <si>
    <t>2.2.1</t>
  </si>
  <si>
    <t>2.2.2</t>
  </si>
  <si>
    <t>2.2.3</t>
  </si>
  <si>
    <t>2.2.4</t>
  </si>
  <si>
    <t>2.3.1</t>
  </si>
  <si>
    <t>2.3.2</t>
  </si>
  <si>
    <t>2.3.3</t>
  </si>
  <si>
    <t>2.3.4</t>
  </si>
  <si>
    <t>3.1.1</t>
  </si>
  <si>
    <t>3.1.2</t>
  </si>
  <si>
    <t>3.1.3</t>
  </si>
  <si>
    <t>3.1.4</t>
  </si>
  <si>
    <t>3.2.1</t>
  </si>
  <si>
    <t>3.2.2</t>
  </si>
  <si>
    <t>3.2.3</t>
  </si>
  <si>
    <t>3.2.4</t>
  </si>
  <si>
    <t>3.2.5</t>
  </si>
  <si>
    <t>3.3.1</t>
  </si>
  <si>
    <t>3.3.2</t>
  </si>
  <si>
    <t>3.3.3</t>
  </si>
  <si>
    <t>3.3.4</t>
  </si>
  <si>
    <t>4.1.1</t>
  </si>
  <si>
    <t>4.1.2</t>
  </si>
  <si>
    <t>4.1.3</t>
  </si>
  <si>
    <t>4.1.4</t>
  </si>
  <si>
    <t>4.2.1</t>
  </si>
  <si>
    <t>4.2.2</t>
  </si>
  <si>
    <t>4.2.3</t>
  </si>
  <si>
    <t>4.2.4</t>
  </si>
  <si>
    <t>4.3.1</t>
  </si>
  <si>
    <t>4.3.2</t>
  </si>
  <si>
    <t>4.3.3</t>
  </si>
  <si>
    <t>4.3.4</t>
  </si>
  <si>
    <t>4.3.5</t>
  </si>
  <si>
    <t>1.1.1.</t>
  </si>
  <si>
    <t>1.1.2.</t>
  </si>
  <si>
    <t>1.1.3.</t>
  </si>
  <si>
    <t>1.1.4.</t>
  </si>
  <si>
    <t>1.1.5.</t>
  </si>
  <si>
    <t>1.1.6.</t>
  </si>
  <si>
    <t>1.2.1.</t>
  </si>
  <si>
    <t>1.2.2.</t>
  </si>
  <si>
    <t>1.2.3.</t>
  </si>
  <si>
    <t>1.2.4.</t>
  </si>
  <si>
    <t>1.3.1.</t>
  </si>
  <si>
    <t>1.3.2.</t>
  </si>
  <si>
    <t>1.3.3.</t>
  </si>
  <si>
    <t>1.3.4.</t>
  </si>
  <si>
    <t>2.1.1.</t>
  </si>
  <si>
    <t>2.1.2.</t>
  </si>
  <si>
    <t>2.1.3.</t>
  </si>
  <si>
    <t>2.1.4.</t>
  </si>
  <si>
    <t>2.1.5.</t>
  </si>
  <si>
    <t>2.2.1.</t>
  </si>
  <si>
    <t>2.2.2.</t>
  </si>
  <si>
    <t>2.2.3.</t>
  </si>
  <si>
    <t>2.2.4.</t>
  </si>
  <si>
    <t>2.3.1.</t>
  </si>
  <si>
    <t>2.3.2.</t>
  </si>
  <si>
    <t>2.3.3.</t>
  </si>
  <si>
    <t>2.3.4.</t>
  </si>
  <si>
    <t>3.1.1.</t>
  </si>
  <si>
    <t>3.1.2.</t>
  </si>
  <si>
    <t>3.1.3.</t>
  </si>
  <si>
    <t>3.1.4.</t>
  </si>
  <si>
    <t>3.2.1.</t>
  </si>
  <si>
    <t>3.2.2.</t>
  </si>
  <si>
    <t>3.2.3.</t>
  </si>
  <si>
    <t>3.2.4.</t>
  </si>
  <si>
    <t>3.2.5.</t>
  </si>
  <si>
    <t>3.3.1.</t>
  </si>
  <si>
    <t>3.3.2.</t>
  </si>
  <si>
    <t>3.3.3.</t>
  </si>
  <si>
    <t>3.3.4.</t>
  </si>
  <si>
    <t>4.1.1.</t>
  </si>
  <si>
    <t>4.1.2.</t>
  </si>
  <si>
    <t>4.1.3.</t>
  </si>
  <si>
    <t>4.1.4.</t>
  </si>
  <si>
    <t>4.2.1.</t>
  </si>
  <si>
    <t>4.2.2.</t>
  </si>
  <si>
    <t>4.2.3.</t>
  </si>
  <si>
    <t>4.2.4.</t>
  </si>
  <si>
    <t>4.3.1.</t>
  </si>
  <si>
    <t>4.3.2.</t>
  </si>
  <si>
    <t>4.3.3.</t>
  </si>
  <si>
    <t>4.3.4.</t>
  </si>
  <si>
    <t>4.3.5.</t>
  </si>
  <si>
    <t>region</t>
  </si>
  <si>
    <t>inc.group</t>
  </si>
  <si>
    <t>gdp.capita</t>
  </si>
  <si>
    <t>population</t>
  </si>
  <si>
    <t>ISO2code</t>
  </si>
  <si>
    <t>BJ</t>
  </si>
  <si>
    <t>TABLE 2: RANKINGS BY PILLAR</t>
  </si>
  <si>
    <t>nri.score</t>
  </si>
  <si>
    <t>nri.ranking</t>
  </si>
  <si>
    <t>Uzbekistan</t>
  </si>
  <si>
    <t>Nicaragua</t>
  </si>
  <si>
    <t>Mauritania</t>
  </si>
  <si>
    <t>UZB</t>
  </si>
  <si>
    <t>NIC</t>
  </si>
  <si>
    <t>MRT</t>
  </si>
  <si>
    <t>1. United States of America (1)</t>
  </si>
  <si>
    <t>UZ</t>
  </si>
  <si>
    <t>NI</t>
  </si>
  <si>
    <t>MR</t>
  </si>
  <si>
    <t>NRI 2024</t>
  </si>
  <si>
    <t>TTO</t>
  </si>
  <si>
    <t>Mobile broadband internet traffic within the country</t>
  </si>
  <si>
    <t>Number of venture capital deals invested in AI</t>
  </si>
  <si>
    <t>ICT patent applications</t>
  </si>
  <si>
    <t>Public cloud computing market scale</t>
  </si>
  <si>
    <t>Government promotion of emerging technologies</t>
  </si>
  <si>
    <t>Domestic market scale</t>
  </si>
  <si>
    <t>Source: Network Readiness Index Database, Portulans Institute, 2024.</t>
  </si>
  <si>
    <t>TABLE 1: NRI 2024 RANKINGS AND SCORES</t>
  </si>
  <si>
    <t>NRI 2024 – ANNEX TABLE 4 – RANKINGS IN THE IMPACT PILLAR AND ASSOCIATED SUB-PILLARS</t>
  </si>
  <si>
    <t>1.score</t>
  </si>
  <si>
    <t>2.score</t>
  </si>
  <si>
    <t>3.score</t>
  </si>
  <si>
    <t>4.score</t>
  </si>
  <si>
    <t>1.ranking</t>
  </si>
  <si>
    <t>2.ranking</t>
  </si>
  <si>
    <t>3.ranking</t>
  </si>
  <si>
    <t>4.ranking</t>
  </si>
  <si>
    <t>1.1.score</t>
  </si>
  <si>
    <t>1.2.score</t>
  </si>
  <si>
    <t>1.3.score</t>
  </si>
  <si>
    <t>2.1.score</t>
  </si>
  <si>
    <t>2.2.score</t>
  </si>
  <si>
    <t>2.3.score</t>
  </si>
  <si>
    <t>3.1.score</t>
  </si>
  <si>
    <t>3.2.score</t>
  </si>
  <si>
    <t>3.3.score</t>
  </si>
  <si>
    <t>4.1.score</t>
  </si>
  <si>
    <t>4.2.score</t>
  </si>
  <si>
    <t>4.3.score</t>
  </si>
  <si>
    <t>1.rank</t>
  </si>
  <si>
    <t>2.rank</t>
  </si>
  <si>
    <t>3.rank</t>
  </si>
  <si>
    <t>4.rank</t>
  </si>
  <si>
    <t>1.1.rank</t>
  </si>
  <si>
    <t>1.2.rank</t>
  </si>
  <si>
    <t>1.3.rank</t>
  </si>
  <si>
    <t>2.1.rank</t>
  </si>
  <si>
    <t>2.2.rank</t>
  </si>
  <si>
    <t>2.3.rank</t>
  </si>
  <si>
    <t>3.1.rank</t>
  </si>
  <si>
    <t>3.2.rank</t>
  </si>
  <si>
    <t>3.3.rank</t>
  </si>
  <si>
    <t>4.1.rank</t>
  </si>
  <si>
    <t>4.2.rank</t>
  </si>
  <si>
    <t>4.3.rank</t>
  </si>
  <si>
    <t>1.1.1rank</t>
  </si>
  <si>
    <t>1.1.2rank</t>
  </si>
  <si>
    <t>1.1.3rank</t>
  </si>
  <si>
    <t>1.1.4rank</t>
  </si>
  <si>
    <t>1.1.5rank</t>
  </si>
  <si>
    <t>1.1.6rank</t>
  </si>
  <si>
    <t>1.2.1rank</t>
  </si>
  <si>
    <t>1.2.2rank</t>
  </si>
  <si>
    <t>1.2.3rank</t>
  </si>
  <si>
    <t>1.2.4rank</t>
  </si>
  <si>
    <t>1.3.1rank</t>
  </si>
  <si>
    <t>1.3.2rank</t>
  </si>
  <si>
    <t>1.3.3rank</t>
  </si>
  <si>
    <t>1.3.4rank</t>
  </si>
  <si>
    <t>2.1.1rank</t>
  </si>
  <si>
    <t>2.1.2rank</t>
  </si>
  <si>
    <t>2.1.3rank</t>
  </si>
  <si>
    <t>2.1.4rank</t>
  </si>
  <si>
    <t>2.1.5rank</t>
  </si>
  <si>
    <t>2.2.1rank</t>
  </si>
  <si>
    <t>2.2.2rank</t>
  </si>
  <si>
    <t>2.2.3rank</t>
  </si>
  <si>
    <t>2.2.4rank</t>
  </si>
  <si>
    <t>2.3.1rank</t>
  </si>
  <si>
    <t>2.3.2rank</t>
  </si>
  <si>
    <t>2.3.3rank</t>
  </si>
  <si>
    <t>2.3.4rank</t>
  </si>
  <si>
    <t>3.1.1rank</t>
  </si>
  <si>
    <t>3.1.2rank</t>
  </si>
  <si>
    <t>3.1.3rank</t>
  </si>
  <si>
    <t>3.1.4rank</t>
  </si>
  <si>
    <t>3.2.1rank</t>
  </si>
  <si>
    <t>3.2.2rank</t>
  </si>
  <si>
    <t>3.2.3rank</t>
  </si>
  <si>
    <t>3.2.4rank</t>
  </si>
  <si>
    <t>3.2.5rank</t>
  </si>
  <si>
    <t>3.3.1rank</t>
  </si>
  <si>
    <t>3.3.2rank</t>
  </si>
  <si>
    <t>3.3.3rank</t>
  </si>
  <si>
    <t>3.3.4rank</t>
  </si>
  <si>
    <t>4.1.1rank</t>
  </si>
  <si>
    <t>4.1.2rank</t>
  </si>
  <si>
    <t>4.1.3rank</t>
  </si>
  <si>
    <t>4.1.4rank</t>
  </si>
  <si>
    <t>4.2.1rank</t>
  </si>
  <si>
    <t>4.2.2rank</t>
  </si>
  <si>
    <t>4.2.3rank</t>
  </si>
  <si>
    <t>4.2.4rank</t>
  </si>
  <si>
    <t>4.3.1rank</t>
  </si>
  <si>
    <t>4.3.2rank</t>
  </si>
  <si>
    <t>4.3.3rank</t>
  </si>
  <si>
    <t>4.3.4rank</t>
  </si>
  <si>
    <t>4.3.5rank</t>
  </si>
  <si>
    <t>1.1.1score</t>
  </si>
  <si>
    <t>1.1.2score</t>
  </si>
  <si>
    <t>1.1.3score</t>
  </si>
  <si>
    <t>1.1.4score</t>
  </si>
  <si>
    <t>1.1.5score</t>
  </si>
  <si>
    <t>1.1.6score</t>
  </si>
  <si>
    <t>1.2.1score</t>
  </si>
  <si>
    <t>1.2.2score</t>
  </si>
  <si>
    <t>1.2.3score</t>
  </si>
  <si>
    <t>1.2.4score</t>
  </si>
  <si>
    <t>1.3.1score</t>
  </si>
  <si>
    <t>1.3.2score</t>
  </si>
  <si>
    <t>1.3.3score</t>
  </si>
  <si>
    <t>1.3.4score</t>
  </si>
  <si>
    <t>2.1.1score</t>
  </si>
  <si>
    <t>2.1.2score</t>
  </si>
  <si>
    <t>2.1.3score</t>
  </si>
  <si>
    <t>2.1.4score</t>
  </si>
  <si>
    <t>2.1.5score</t>
  </si>
  <si>
    <t>2.2.1score</t>
  </si>
  <si>
    <t>2.2.2score</t>
  </si>
  <si>
    <t>2.2.3score</t>
  </si>
  <si>
    <t>2.2.4score</t>
  </si>
  <si>
    <t>2.3.1score</t>
  </si>
  <si>
    <t>2.3.2score</t>
  </si>
  <si>
    <t>2.3.3score</t>
  </si>
  <si>
    <t>2.3.4score</t>
  </si>
  <si>
    <t>3.1.1score</t>
  </si>
  <si>
    <t>3.1.2score</t>
  </si>
  <si>
    <t>3.1.3score</t>
  </si>
  <si>
    <t>3.1.4score</t>
  </si>
  <si>
    <t>3.2.1score</t>
  </si>
  <si>
    <t>3.2.2score</t>
  </si>
  <si>
    <t>3.2.3score</t>
  </si>
  <si>
    <t>3.2.4score</t>
  </si>
  <si>
    <t>3.2.5score</t>
  </si>
  <si>
    <t>3.3.1score</t>
  </si>
  <si>
    <t>3.3.2score</t>
  </si>
  <si>
    <t>3.3.3score</t>
  </si>
  <si>
    <t>3.3.4score</t>
  </si>
  <si>
    <t>4.1.1score</t>
  </si>
  <si>
    <t>4.1.2score</t>
  </si>
  <si>
    <t>4.1.3score</t>
  </si>
  <si>
    <t>4.1.4score</t>
  </si>
  <si>
    <t>4.2.1score</t>
  </si>
  <si>
    <t>4.2.2score</t>
  </si>
  <si>
    <t>4.2.3score</t>
  </si>
  <si>
    <t>4.2.4score</t>
  </si>
  <si>
    <t>4.3.1score</t>
  </si>
  <si>
    <t>4.3.2score</t>
  </si>
  <si>
    <t>4.3.3score</t>
  </si>
  <si>
    <t>4.3.4score</t>
  </si>
  <si>
    <t>4.3.5score</t>
  </si>
  <si>
    <t>Data Capabilities</t>
  </si>
  <si>
    <t>NRI.score</t>
  </si>
  <si>
    <t>NRI.ranking</t>
  </si>
  <si>
    <t>1.1.ranking</t>
  </si>
  <si>
    <t>1.2.ranking</t>
  </si>
  <si>
    <t>1.3.ranking</t>
  </si>
  <si>
    <t>2.1.ranking</t>
  </si>
  <si>
    <t>2.2.ranking</t>
  </si>
  <si>
    <t>2.3.ranking</t>
  </si>
  <si>
    <t>3.1.ranking</t>
  </si>
  <si>
    <t>3.2.ranking</t>
  </si>
  <si>
    <t>3.3.ranking</t>
  </si>
  <si>
    <t>4.1.ranking</t>
  </si>
  <si>
    <t>4.2.ranking</t>
  </si>
  <si>
    <t>4.3.ranking</t>
  </si>
  <si>
    <t>1.1.1.score</t>
  </si>
  <si>
    <t>1.1.2.score</t>
  </si>
  <si>
    <t>1.1.3.score</t>
  </si>
  <si>
    <t>1.1.4.score</t>
  </si>
  <si>
    <t>1.1.5.score</t>
  </si>
  <si>
    <t>1.1.6.score</t>
  </si>
  <si>
    <t>1.2.1.score</t>
  </si>
  <si>
    <t>1.2.2.score</t>
  </si>
  <si>
    <t>1.2.3.score</t>
  </si>
  <si>
    <t>1.2.4.score</t>
  </si>
  <si>
    <t>1.3.1.score</t>
  </si>
  <si>
    <t>1.3.2.score</t>
  </si>
  <si>
    <t>1.3.3.score</t>
  </si>
  <si>
    <t>1.3.4.score</t>
  </si>
  <si>
    <t>2.1.1.score</t>
  </si>
  <si>
    <t>2.1.2.score</t>
  </si>
  <si>
    <t>2.1.3.score</t>
  </si>
  <si>
    <t>2.1.4.score</t>
  </si>
  <si>
    <t>2.1.5.score</t>
  </si>
  <si>
    <t>2.2.1.score</t>
  </si>
  <si>
    <t>2.2.2.score</t>
  </si>
  <si>
    <t>2.2.3.score</t>
  </si>
  <si>
    <t>2.2.4.score</t>
  </si>
  <si>
    <t>2.3.1.score</t>
  </si>
  <si>
    <t>2.3.2.score</t>
  </si>
  <si>
    <t>2.3.3.score</t>
  </si>
  <si>
    <t>2.3.4.score</t>
  </si>
  <si>
    <t>3.1.1.score</t>
  </si>
  <si>
    <t>3.1.2.score</t>
  </si>
  <si>
    <t>3.1.3.score</t>
  </si>
  <si>
    <t>3.1.4.score</t>
  </si>
  <si>
    <t>3.2.1.score</t>
  </si>
  <si>
    <t>3.2.2.score</t>
  </si>
  <si>
    <t>3.2.3.score</t>
  </si>
  <si>
    <t>3.2.4.score</t>
  </si>
  <si>
    <t>3.2.5.score</t>
  </si>
  <si>
    <t>3.3.1.score</t>
  </si>
  <si>
    <t>3.3.2.score</t>
  </si>
  <si>
    <t>3.3.3.score</t>
  </si>
  <si>
    <t>3.3.4.score</t>
  </si>
  <si>
    <t>4.1.1.score</t>
  </si>
  <si>
    <t>4.1.2.score</t>
  </si>
  <si>
    <t>4.1.3.score</t>
  </si>
  <si>
    <t>4.1.4.score</t>
  </si>
  <si>
    <t>4.2.1.score</t>
  </si>
  <si>
    <t>4.2.2.score</t>
  </si>
  <si>
    <t>4.2.3.score</t>
  </si>
  <si>
    <t>4.2.4.score</t>
  </si>
  <si>
    <t>4.3.1.score</t>
  </si>
  <si>
    <t>4.3.2.score</t>
  </si>
  <si>
    <t>4.3.3.score</t>
  </si>
  <si>
    <t>4.3.4.score</t>
  </si>
  <si>
    <t>4.3.5.score</t>
  </si>
  <si>
    <t>1.1.1.rank</t>
  </si>
  <si>
    <t>1.1.2.rank</t>
  </si>
  <si>
    <t>1.1.3.rank</t>
  </si>
  <si>
    <t>1.1.4.rank</t>
  </si>
  <si>
    <t>1.1.5.rank</t>
  </si>
  <si>
    <t>1.1.6.rank</t>
  </si>
  <si>
    <t>1.2.1.rank</t>
  </si>
  <si>
    <t>1.2.2.rank</t>
  </si>
  <si>
    <t>1.2.3.rank</t>
  </si>
  <si>
    <t>1.2.4.rank</t>
  </si>
  <si>
    <t>1.3.1.rank</t>
  </si>
  <si>
    <t>1.3.2.rank</t>
  </si>
  <si>
    <t>1.3.3.rank</t>
  </si>
  <si>
    <t>1.3.4.rank</t>
  </si>
  <si>
    <t>2.1.1.rank</t>
  </si>
  <si>
    <t>2.1.2.rank</t>
  </si>
  <si>
    <t>2.1.3.rank</t>
  </si>
  <si>
    <t>2.1.4.rank</t>
  </si>
  <si>
    <t>2.1.5.rank</t>
  </si>
  <si>
    <t>2.2.1.rank</t>
  </si>
  <si>
    <t>2.2.2.rank</t>
  </si>
  <si>
    <t>2.2.3.rank</t>
  </si>
  <si>
    <t>2.2.4.rank</t>
  </si>
  <si>
    <t>2.3.1.rank</t>
  </si>
  <si>
    <t>2.3.2.rank</t>
  </si>
  <si>
    <t>2.3.3.rank</t>
  </si>
  <si>
    <t>2.3.4.rank</t>
  </si>
  <si>
    <t>3.1.1.rank</t>
  </si>
  <si>
    <t>3.1.2.rank</t>
  </si>
  <si>
    <t>3.1.3.rank</t>
  </si>
  <si>
    <t>3.1.4.rank</t>
  </si>
  <si>
    <t>3.2.1.rank</t>
  </si>
  <si>
    <t>3.2.2.rank</t>
  </si>
  <si>
    <t>3.2.3.rank</t>
  </si>
  <si>
    <t>3.2.4.rank</t>
  </si>
  <si>
    <t>3.2.5.rank</t>
  </si>
  <si>
    <t>3.3.1.rank</t>
  </si>
  <si>
    <t>3.3.2.rank</t>
  </si>
  <si>
    <t>3.3.3.rank</t>
  </si>
  <si>
    <t>3.3.4.rank</t>
  </si>
  <si>
    <t>4.1.1.rank</t>
  </si>
  <si>
    <t>4.1.2.rank</t>
  </si>
  <si>
    <t>4.1.3.rank</t>
  </si>
  <si>
    <t>4.1.4.rank</t>
  </si>
  <si>
    <t>4.2.1.rank</t>
  </si>
  <si>
    <t>4.2.2.rank</t>
  </si>
  <si>
    <t>4.2.3.rank</t>
  </si>
  <si>
    <t>4.2.4.rank</t>
  </si>
  <si>
    <t>4.3.1.rank</t>
  </si>
  <si>
    <t>4.3.2.rank</t>
  </si>
  <si>
    <t>4.3.3.rank</t>
  </si>
  <si>
    <t>4.3.4.rank</t>
  </si>
  <si>
    <t>4.3.5.rank</t>
  </si>
  <si>
    <t>High-income</t>
  </si>
  <si>
    <t>Upper middle-income</t>
  </si>
  <si>
    <t>Lower middle-income</t>
  </si>
  <si>
    <t>Low-income</t>
  </si>
  <si>
    <t>NRIScore</t>
  </si>
  <si>
    <t>NRIRank</t>
  </si>
  <si>
    <t>TABLE 1: TOP 10 PERFORMERS IN NRI 2025</t>
  </si>
  <si>
    <t>Source: Network Readiness Index Database, Portulans Institute, 2025.</t>
  </si>
  <si>
    <t>1. Mauritius (58)</t>
  </si>
  <si>
    <t>2. South Africa (69)</t>
  </si>
  <si>
    <t>2. Republic of Korea (10)</t>
  </si>
  <si>
    <t>3. Bahrain (36)</t>
  </si>
  <si>
    <t>3. Kazakhstan (65)</t>
  </si>
  <si>
    <t>2. Malaysia (38)</t>
  </si>
  <si>
    <t>3. Thailand (44)</t>
  </si>
  <si>
    <t>3. Philippines (66)</t>
  </si>
  <si>
    <t>NRI 2025 – ANNEX TABLE 1 – RANKINGS IN THE TECHNOLOGY PILLAR AND ASSOCIATED SUB-PILLARS</t>
  </si>
  <si>
    <t>NRI 2025 – ANNEX TABLE 2 – RANKINGS IN THE PEOPLE PILLAR AND ASSOCIATED SUB-PILLARS</t>
  </si>
  <si>
    <t>NRI 2025 – ANNEX TABLE 3 – RANKINGS IN THE GOVERNANCE PILLAR AND ASSOCIATED SUB-PILLARS</t>
  </si>
  <si>
    <t>Gross expenditure on R&amp;D</t>
  </si>
  <si>
    <t>1. United Arab Emirates (26)</t>
  </si>
  <si>
    <t>1. Singapore (3)</t>
  </si>
  <si>
    <t>1. Russian Federation (56)</t>
  </si>
  <si>
    <t>1. Finland (2)</t>
  </si>
  <si>
    <t>2. Saudi Arabia (34)</t>
  </si>
  <si>
    <t>2. Armenia (62)</t>
  </si>
  <si>
    <t>2. Denmark (4)</t>
  </si>
  <si>
    <t>2. Canada (12)</t>
  </si>
  <si>
    <t>3. Kenya (77)</t>
  </si>
  <si>
    <t>3. Japan (11)</t>
  </si>
  <si>
    <t>3. Sweden (5)</t>
  </si>
  <si>
    <t>3. Costa Rica (42)</t>
  </si>
  <si>
    <t>1. China (24)</t>
  </si>
  <si>
    <t>1. Viet Nam (40)</t>
  </si>
  <si>
    <t>1. Rwanda (87)</t>
  </si>
  <si>
    <t>2. Finland (2)</t>
  </si>
  <si>
    <t>2. India (45)</t>
  </si>
  <si>
    <t>2. Uganda (112)</t>
  </si>
  <si>
    <t>3. Singapore (3)</t>
  </si>
  <si>
    <t>3. Malawi (116)</t>
  </si>
  <si>
    <t>n/a</t>
  </si>
  <si>
    <t>TABLE 1: NRI 2025 RANKINGS AND SCORES</t>
  </si>
  <si>
    <t>Use of virtual social networks</t>
  </si>
  <si>
    <t>Happiness</t>
  </si>
  <si>
    <t>Rural gap in use of digital payments</t>
  </si>
  <si>
    <t>Technology-enabled work flexibility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</si>
</sst>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8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9"/>
      <color theme="0"/>
      <name val="Arial Narrow"/>
      <family val="2"/>
    </font>
    <font>
      <b/>
      <sz val="9"/>
      <name val="Arial Narrow"/>
      <family val="2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5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rgb="FF00765A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theme="0"/>
        <bgColor indexed="64"/>
      </patternFill>
    </fill>
  </fills>
  <borders count="43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0"/>
      </top>
      <bottom/>
      <diagonal/>
    </border>
    <border>
      <left style="thin">
        <color theme="1" tint="0.499984740745262"/>
      </left>
      <right style="thin">
        <color theme="1" tint="0.499984740745262"/>
      </right>
      <top/>
      <bottom/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/>
      <right style="thin">
        <color theme="2" tint="-0.499984740745262"/>
      </right>
      <top/>
      <bottom/>
      <diagonal/>
    </border>
    <border>
      <left/>
      <right style="thin">
        <color theme="0"/>
      </right>
      <top/>
      <bottom style="thin">
        <color theme="0"/>
      </bottom>
      <diagonal/>
    </border>
    <border>
      <left style="thin">
        <color theme="0"/>
      </left>
      <right/>
      <top/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 style="medium">
        <color theme="1" tint="0.499984740745262"/>
      </right>
      <top/>
      <bottom/>
      <diagonal/>
    </border>
    <border>
      <left style="medium">
        <color theme="1" tint="0.499984740745262"/>
      </left>
      <right style="medium">
        <color theme="1" tint="0.499984740745262"/>
      </right>
      <top/>
      <bottom/>
      <diagonal/>
    </border>
    <border>
      <left style="medium">
        <color theme="1" tint="0.499984740745262"/>
      </left>
      <right/>
      <top/>
      <bottom/>
      <diagonal/>
    </border>
    <border>
      <left style="medium">
        <color theme="1" tint="0.499984740745262"/>
      </left>
      <right style="medium">
        <color theme="1" tint="0.499984740745262"/>
      </right>
      <top/>
      <bottom style="medium">
        <color theme="1" tint="0.499984740745262"/>
      </bottom>
      <diagonal/>
    </border>
    <border>
      <left style="medium">
        <color theme="1" tint="0.499984740745262"/>
      </left>
      <right/>
      <top/>
      <bottom style="medium">
        <color theme="1" tint="0.499984740745262"/>
      </bottom>
      <diagonal/>
    </border>
    <border>
      <left style="thick">
        <color theme="0"/>
      </left>
      <right style="medium">
        <color theme="0"/>
      </right>
      <top/>
      <bottom/>
      <diagonal/>
    </border>
    <border>
      <left style="medium">
        <color theme="0"/>
      </left>
      <right style="medium">
        <color theme="0"/>
      </right>
      <top/>
      <bottom/>
      <diagonal/>
    </border>
    <border>
      <left style="medium">
        <color theme="0"/>
      </left>
      <right style="thick">
        <color theme="0"/>
      </right>
      <top/>
      <bottom/>
      <diagonal/>
    </border>
    <border>
      <left style="thin">
        <color theme="1" tint="0.499984740745262"/>
      </left>
      <right/>
      <top style="thin">
        <color theme="0"/>
      </top>
      <bottom/>
      <diagonal/>
    </border>
    <border>
      <left style="thin">
        <color theme="1" tint="0.499984740745262"/>
      </left>
      <right/>
      <top/>
      <bottom/>
      <diagonal/>
    </border>
    <border>
      <left/>
      <right style="thin">
        <color theme="1" tint="0.499984740745262"/>
      </right>
      <top style="thin">
        <color theme="0"/>
      </top>
      <bottom/>
      <diagonal/>
    </border>
    <border>
      <left/>
      <right style="thin">
        <color theme="1" tint="0.499984740745262"/>
      </right>
      <top/>
      <bottom/>
      <diagonal/>
    </border>
    <border>
      <left/>
      <right style="thick">
        <color theme="0" tint="-0.24994659260841701"/>
      </right>
      <top/>
      <bottom/>
      <diagonal/>
    </border>
    <border>
      <left style="thick">
        <color theme="0" tint="-0.24994659260841701"/>
      </left>
      <right style="thick">
        <color theme="0" tint="-0.24994659260841701"/>
      </right>
      <top/>
      <bottom/>
      <diagonal/>
    </border>
    <border>
      <left style="thick">
        <color theme="0" tint="-0.24994659260841701"/>
      </left>
      <right/>
      <top/>
      <bottom/>
      <diagonal/>
    </border>
    <border>
      <left/>
      <right style="medium">
        <color theme="0"/>
      </right>
      <top/>
      <bottom/>
      <diagonal/>
    </border>
    <border>
      <left style="medium">
        <color theme="0"/>
      </left>
      <right/>
      <top/>
      <bottom/>
      <diagonal/>
    </border>
    <border>
      <left/>
      <right/>
      <top/>
      <bottom style="medium">
        <color theme="0" tint="-4.9989318521683403E-2"/>
      </bottom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0"/>
      </top>
      <bottom style="thin">
        <color indexed="64"/>
      </bottom>
      <diagonal/>
    </border>
    <border>
      <left style="thin">
        <color theme="1" tint="0.499984740745262"/>
      </left>
      <right/>
      <top style="thin">
        <color theme="0"/>
      </top>
      <bottom style="thin">
        <color indexed="64"/>
      </bottom>
      <diagonal/>
    </border>
    <border>
      <left/>
      <right style="thick">
        <color theme="0" tint="-0.24994659260841701"/>
      </right>
      <top/>
      <bottom style="thick">
        <color theme="0" tint="-0.24994659260841701"/>
      </bottom>
      <diagonal/>
    </border>
    <border>
      <left style="thick">
        <color theme="0" tint="-0.24994659260841701"/>
      </left>
      <right style="thick">
        <color theme="0" tint="-0.24994659260841701"/>
      </right>
      <top/>
      <bottom style="thick">
        <color theme="0" tint="-0.24994659260841701"/>
      </bottom>
      <diagonal/>
    </border>
    <border>
      <left style="thick">
        <color theme="0" tint="-0.24994659260841701"/>
      </left>
      <right/>
      <top/>
      <bottom style="thick">
        <color theme="0" tint="-0.24994659260841701"/>
      </bottom>
      <diagonal/>
    </border>
    <border>
      <left/>
      <right style="thin">
        <color theme="1" tint="0.499984740745262"/>
      </right>
      <top/>
      <bottom style="thin">
        <color theme="1" tint="0.499984740745262"/>
      </bottom>
      <diagonal/>
    </border>
    <border>
      <left style="thin">
        <color theme="1" tint="0.499984740745262"/>
      </left>
      <right style="thin">
        <color theme="1" tint="0.499984740745262"/>
      </right>
      <top/>
      <bottom style="thin">
        <color theme="1" tint="0.499984740745262"/>
      </bottom>
      <diagonal/>
    </border>
    <border>
      <left style="thin">
        <color theme="1" tint="0.499984740745262"/>
      </left>
      <right/>
      <top/>
      <bottom style="thin">
        <color theme="1" tint="0.499984740745262"/>
      </bottom>
      <diagonal/>
    </border>
    <border>
      <left/>
      <right style="thin">
        <color theme="1" tint="0.499984740745262"/>
      </right>
      <top style="thin">
        <color theme="0"/>
      </top>
      <bottom style="thin">
        <color indexed="64"/>
      </bottom>
      <diagonal/>
    </border>
  </borders>
  <cellStyleXfs count="2">
    <xf numFmtId="0" fontId="0" fillId="0" borderId="0"/>
    <xf numFmtId="43" fontId="5" fillId="0" borderId="0" applyFont="0" applyFill="0" applyBorder="0" applyAlignment="0" applyProtection="0"/>
  </cellStyleXfs>
  <cellXfs count="113">
    <xf numFmtId="0" fontId="0" fillId="0" borderId="0" xfId="0"/>
    <xf numFmtId="2" fontId="0" fillId="0" borderId="0" xfId="0" applyNumberFormat="1"/>
    <xf numFmtId="0" fontId="0" fillId="0" borderId="0" xfId="0" applyAlignment="1">
      <alignment horizontal="left"/>
    </xf>
    <xf numFmtId="0" fontId="0" fillId="4" borderId="0" xfId="0" applyFill="1"/>
    <xf numFmtId="0" fontId="1" fillId="3" borderId="1" xfId="0" applyFont="1" applyFill="1" applyBorder="1" applyAlignment="1">
      <alignment horizontal="centerContinuous"/>
    </xf>
    <xf numFmtId="0" fontId="0" fillId="0" borderId="2" xfId="0" applyBorder="1"/>
    <xf numFmtId="0" fontId="0" fillId="0" borderId="3" xfId="0" applyBorder="1"/>
    <xf numFmtId="0" fontId="0" fillId="4" borderId="3" xfId="0" applyFill="1" applyBorder="1"/>
    <xf numFmtId="0" fontId="1" fillId="3" borderId="5" xfId="0" applyFont="1" applyFill="1" applyBorder="1" applyAlignment="1">
      <alignment horizontal="center"/>
    </xf>
    <xf numFmtId="0" fontId="0" fillId="0" borderId="7" xfId="0" applyBorder="1"/>
    <xf numFmtId="0" fontId="0" fillId="5" borderId="3" xfId="0" applyFill="1" applyBorder="1"/>
    <xf numFmtId="0" fontId="0" fillId="5" borderId="2" xfId="0" applyFill="1" applyBorder="1"/>
    <xf numFmtId="2" fontId="0" fillId="4" borderId="0" xfId="0" applyNumberFormat="1" applyFill="1"/>
    <xf numFmtId="0" fontId="1" fillId="6" borderId="0" xfId="0" applyFont="1" applyFill="1" applyAlignment="1">
      <alignment horizontal="centerContinuous"/>
    </xf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4" borderId="11" xfId="0" applyFill="1" applyBorder="1"/>
    <xf numFmtId="0" fontId="0" fillId="4" borderId="12" xfId="0" applyFill="1" applyBorder="1"/>
    <xf numFmtId="0" fontId="0" fillId="4" borderId="13" xfId="0" applyFill="1" applyBorder="1"/>
    <xf numFmtId="0" fontId="1" fillId="3" borderId="10" xfId="0" applyFont="1" applyFill="1" applyBorder="1" applyAlignment="1">
      <alignment horizontal="centerContinuous"/>
    </xf>
    <xf numFmtId="0" fontId="0" fillId="0" borderId="19" xfId="0" applyBorder="1"/>
    <xf numFmtId="0" fontId="0" fillId="4" borderId="20" xfId="0" applyFill="1" applyBorder="1"/>
    <xf numFmtId="0" fontId="0" fillId="0" borderId="20" xfId="0" applyBorder="1"/>
    <xf numFmtId="0" fontId="0" fillId="0" borderId="21" xfId="0" applyBorder="1"/>
    <xf numFmtId="0" fontId="0" fillId="4" borderId="22" xfId="0" applyFill="1" applyBorder="1"/>
    <xf numFmtId="0" fontId="0" fillId="0" borderId="22" xfId="0" applyBorder="1"/>
    <xf numFmtId="0" fontId="0" fillId="4" borderId="7" xfId="0" applyFill="1" applyBorder="1"/>
    <xf numFmtId="0" fontId="0" fillId="0" borderId="23" xfId="0" applyBorder="1" applyAlignment="1">
      <alignment horizontal="center"/>
    </xf>
    <xf numFmtId="0" fontId="0" fillId="0" borderId="24" xfId="0" applyBorder="1"/>
    <xf numFmtId="2" fontId="0" fillId="0" borderId="24" xfId="0" applyNumberFormat="1" applyBorder="1"/>
    <xf numFmtId="0" fontId="0" fillId="0" borderId="25" xfId="0" applyBorder="1"/>
    <xf numFmtId="0" fontId="0" fillId="4" borderId="23" xfId="0" applyFill="1" applyBorder="1" applyAlignment="1">
      <alignment horizontal="center"/>
    </xf>
    <xf numFmtId="0" fontId="0" fillId="4" borderId="24" xfId="0" applyFill="1" applyBorder="1"/>
    <xf numFmtId="2" fontId="0" fillId="4" borderId="24" xfId="0" applyNumberFormat="1" applyFill="1" applyBorder="1"/>
    <xf numFmtId="0" fontId="0" fillId="4" borderId="25" xfId="0" applyFill="1" applyBorder="1"/>
    <xf numFmtId="0" fontId="0" fillId="5" borderId="28" xfId="0" applyFill="1" applyBorder="1"/>
    <xf numFmtId="1" fontId="0" fillId="0" borderId="0" xfId="0" applyNumberFormat="1"/>
    <xf numFmtId="1" fontId="0" fillId="4" borderId="0" xfId="0" applyNumberFormat="1" applyFill="1"/>
    <xf numFmtId="0" fontId="0" fillId="0" borderId="30" xfId="0" applyBorder="1"/>
    <xf numFmtId="0" fontId="0" fillId="0" borderId="0" xfId="0" applyAlignment="1">
      <alignment horizontal="centerContinuous"/>
    </xf>
    <xf numFmtId="0" fontId="0" fillId="0" borderId="31" xfId="0" applyBorder="1" applyAlignment="1">
      <alignment horizontal="centerContinuous"/>
    </xf>
    <xf numFmtId="0" fontId="0" fillId="0" borderId="31" xfId="0" applyBorder="1" applyAlignment="1">
      <alignment horizontal="centerContinuous" vertical="top"/>
    </xf>
    <xf numFmtId="0" fontId="0" fillId="0" borderId="31" xfId="0" applyBorder="1" applyAlignment="1">
      <alignment horizontal="distributed"/>
    </xf>
    <xf numFmtId="0" fontId="0" fillId="0" borderId="32" xfId="0" applyBorder="1"/>
    <xf numFmtId="0" fontId="0" fillId="0" borderId="33" xfId="0" applyBorder="1"/>
    <xf numFmtId="0" fontId="2" fillId="7" borderId="31" xfId="0" applyFont="1" applyFill="1" applyBorder="1" applyAlignment="1">
      <alignment horizontal="center" wrapText="1"/>
    </xf>
    <xf numFmtId="49" fontId="2" fillId="7" borderId="31" xfId="0" applyNumberFormat="1" applyFont="1" applyFill="1" applyBorder="1" applyAlignment="1">
      <alignment horizontal="center" wrapText="1"/>
    </xf>
    <xf numFmtId="0" fontId="2" fillId="8" borderId="31" xfId="0" applyFont="1" applyFill="1" applyBorder="1" applyAlignment="1">
      <alignment horizontal="center" wrapText="1"/>
    </xf>
    <xf numFmtId="0" fontId="3" fillId="9" borderId="31" xfId="0" applyFont="1" applyFill="1" applyBorder="1" applyAlignment="1">
      <alignment wrapText="1"/>
    </xf>
    <xf numFmtId="0" fontId="3" fillId="10" borderId="31" xfId="0" applyFont="1" applyFill="1" applyBorder="1" applyAlignment="1">
      <alignment wrapText="1"/>
    </xf>
    <xf numFmtId="0" fontId="3" fillId="10" borderId="31" xfId="0" applyFont="1" applyFill="1" applyBorder="1" applyAlignment="1">
      <alignment horizontal="center" wrapText="1"/>
    </xf>
    <xf numFmtId="0" fontId="3" fillId="11" borderId="31" xfId="0" applyFont="1" applyFill="1" applyBorder="1" applyAlignment="1">
      <alignment wrapText="1"/>
    </xf>
    <xf numFmtId="0" fontId="3" fillId="11" borderId="31" xfId="0" applyFont="1" applyFill="1" applyBorder="1" applyAlignment="1">
      <alignment horizontal="center" wrapText="1"/>
    </xf>
    <xf numFmtId="0" fontId="3" fillId="2" borderId="31" xfId="0" applyFont="1" applyFill="1" applyBorder="1" applyAlignment="1">
      <alignment wrapText="1"/>
    </xf>
    <xf numFmtId="0" fontId="6" fillId="12" borderId="26" xfId="0" applyFont="1" applyFill="1" applyBorder="1"/>
    <xf numFmtId="0" fontId="6" fillId="12" borderId="17" xfId="0" applyFont="1" applyFill="1" applyBorder="1"/>
    <xf numFmtId="0" fontId="6" fillId="12" borderId="27" xfId="0" applyFont="1" applyFill="1" applyBorder="1"/>
    <xf numFmtId="164" fontId="0" fillId="0" borderId="0" xfId="1" applyNumberFormat="1" applyFont="1" applyBorder="1"/>
    <xf numFmtId="0" fontId="0" fillId="13" borderId="29" xfId="0" applyFill="1" applyBorder="1"/>
    <xf numFmtId="0" fontId="3" fillId="13" borderId="32" xfId="0" applyFont="1" applyFill="1" applyBorder="1" applyAlignment="1">
      <alignment horizontal="left" wrapText="1"/>
    </xf>
    <xf numFmtId="0" fontId="3" fillId="13" borderId="31" xfId="0" applyFont="1" applyFill="1" applyBorder="1" applyAlignment="1">
      <alignment horizontal="left" wrapText="1"/>
    </xf>
    <xf numFmtId="0" fontId="3" fillId="8" borderId="31" xfId="0" applyFont="1" applyFill="1" applyBorder="1" applyAlignment="1">
      <alignment horizontal="center" wrapText="1"/>
    </xf>
    <xf numFmtId="0" fontId="3" fillId="8" borderId="31" xfId="0" applyFont="1" applyFill="1" applyBorder="1" applyAlignment="1">
      <alignment horizontal="left" wrapText="1"/>
    </xf>
    <xf numFmtId="0" fontId="6" fillId="0" borderId="0" xfId="0" applyFont="1"/>
    <xf numFmtId="0" fontId="2" fillId="14" borderId="31" xfId="0" applyFont="1" applyFill="1" applyBorder="1" applyAlignment="1">
      <alignment horizontal="center" wrapText="1"/>
    </xf>
    <xf numFmtId="0" fontId="3" fillId="14" borderId="31" xfId="0" applyFont="1" applyFill="1" applyBorder="1" applyAlignment="1">
      <alignment horizontal="center" wrapText="1"/>
    </xf>
    <xf numFmtId="0" fontId="0" fillId="15" borderId="0" xfId="0" applyFill="1"/>
    <xf numFmtId="0" fontId="7" fillId="12" borderId="16" xfId="0" applyFont="1" applyFill="1" applyBorder="1" applyAlignment="1">
      <alignment horizontal="center" vertical="center"/>
    </xf>
    <xf numFmtId="0" fontId="7" fillId="12" borderId="17" xfId="0" applyFont="1" applyFill="1" applyBorder="1" applyAlignment="1">
      <alignment horizontal="center" vertical="center" textRotation="90"/>
    </xf>
    <xf numFmtId="0" fontId="7" fillId="12" borderId="18" xfId="0" applyFont="1" applyFill="1" applyBorder="1" applyAlignment="1">
      <alignment horizontal="center" vertical="center" textRotation="90"/>
    </xf>
    <xf numFmtId="0" fontId="3" fillId="16" borderId="31" xfId="0" applyFont="1" applyFill="1" applyBorder="1" applyAlignment="1">
      <alignment horizontal="center" wrapText="1"/>
    </xf>
    <xf numFmtId="49" fontId="3" fillId="16" borderId="31" xfId="0" applyNumberFormat="1" applyFont="1" applyFill="1" applyBorder="1" applyAlignment="1">
      <alignment horizontal="center" wrapText="1"/>
    </xf>
    <xf numFmtId="0" fontId="0" fillId="12" borderId="8" xfId="0" applyFill="1" applyBorder="1" applyAlignment="1">
      <alignment horizontal="center"/>
    </xf>
    <xf numFmtId="0" fontId="0" fillId="12" borderId="9" xfId="0" applyFill="1" applyBorder="1"/>
    <xf numFmtId="0" fontId="0" fillId="15" borderId="10" xfId="0" applyFill="1" applyBorder="1"/>
    <xf numFmtId="0" fontId="1" fillId="17" borderId="5" xfId="0" applyFont="1" applyFill="1" applyBorder="1" applyAlignment="1">
      <alignment horizontal="center"/>
    </xf>
    <xf numFmtId="0" fontId="0" fillId="12" borderId="4" xfId="0" applyFill="1" applyBorder="1" applyAlignment="1">
      <alignment horizontal="center" vertical="center"/>
    </xf>
    <xf numFmtId="0" fontId="0" fillId="12" borderId="5" xfId="0" applyFill="1" applyBorder="1" applyAlignment="1">
      <alignment horizontal="center" vertical="center" textRotation="90"/>
    </xf>
    <xf numFmtId="0" fontId="0" fillId="12" borderId="1" xfId="0" applyFill="1" applyBorder="1" applyAlignment="1">
      <alignment horizontal="center" vertical="center" textRotation="90"/>
    </xf>
    <xf numFmtId="0" fontId="0" fillId="12" borderId="10" xfId="0" applyFill="1" applyBorder="1" applyAlignment="1">
      <alignment horizontal="center" vertical="center" textRotation="90" wrapText="1"/>
    </xf>
    <xf numFmtId="0" fontId="0" fillId="12" borderId="6" xfId="0" applyFill="1" applyBorder="1"/>
    <xf numFmtId="0" fontId="1" fillId="3" borderId="4" xfId="0" applyFont="1" applyFill="1" applyBorder="1" applyAlignment="1">
      <alignment horizontal="centerContinuous"/>
    </xf>
    <xf numFmtId="0" fontId="1" fillId="3" borderId="9" xfId="0" applyFont="1" applyFill="1" applyBorder="1" applyAlignment="1">
      <alignment horizontal="centerContinuous"/>
    </xf>
    <xf numFmtId="0" fontId="3" fillId="0" borderId="0" xfId="0" applyFont="1" applyAlignment="1">
      <alignment horizontal="center" wrapText="1"/>
    </xf>
    <xf numFmtId="0" fontId="0" fillId="12" borderId="0" xfId="0" applyFill="1"/>
    <xf numFmtId="0" fontId="0" fillId="18" borderId="0" xfId="0" applyFill="1"/>
    <xf numFmtId="43" fontId="0" fillId="0" borderId="0" xfId="1" applyFont="1" applyBorder="1"/>
    <xf numFmtId="0" fontId="0" fillId="9" borderId="31" xfId="0" applyFill="1" applyBorder="1" applyAlignment="1">
      <alignment horizontal="center"/>
    </xf>
    <xf numFmtId="0" fontId="0" fillId="2" borderId="31" xfId="0" applyFill="1" applyBorder="1" applyAlignment="1">
      <alignment horizontal="center"/>
    </xf>
    <xf numFmtId="0" fontId="0" fillId="0" borderId="36" xfId="0" applyBorder="1" applyAlignment="1">
      <alignment horizontal="center"/>
    </xf>
    <xf numFmtId="0" fontId="0" fillId="0" borderId="37" xfId="0" applyBorder="1"/>
    <xf numFmtId="2" fontId="0" fillId="0" borderId="37" xfId="0" applyNumberFormat="1" applyBorder="1"/>
    <xf numFmtId="0" fontId="0" fillId="0" borderId="38" xfId="0" applyBorder="1"/>
    <xf numFmtId="0" fontId="0" fillId="0" borderId="14" xfId="0" applyBorder="1"/>
    <xf numFmtId="0" fontId="0" fillId="0" borderId="15" xfId="0" applyBorder="1"/>
    <xf numFmtId="0" fontId="0" fillId="0" borderId="39" xfId="0" applyBorder="1"/>
    <xf numFmtId="0" fontId="0" fillId="5" borderId="40" xfId="0" applyFill="1" applyBorder="1"/>
    <xf numFmtId="0" fontId="0" fillId="0" borderId="40" xfId="0" applyBorder="1"/>
    <xf numFmtId="0" fontId="0" fillId="0" borderId="41" xfId="0" applyBorder="1"/>
    <xf numFmtId="0" fontId="0" fillId="0" borderId="42" xfId="0" applyBorder="1"/>
    <xf numFmtId="0" fontId="0" fillId="5" borderId="34" xfId="0" applyFill="1" applyBorder="1"/>
    <xf numFmtId="0" fontId="0" fillId="0" borderId="34" xfId="0" applyBorder="1"/>
    <xf numFmtId="0" fontId="0" fillId="0" borderId="35" xfId="0" applyBorder="1"/>
    <xf numFmtId="164" fontId="0" fillId="0" borderId="0" xfId="1" applyNumberFormat="1" applyFont="1"/>
    <xf numFmtId="43" fontId="0" fillId="0" borderId="24" xfId="1" applyFont="1" applyBorder="1"/>
    <xf numFmtId="43" fontId="0" fillId="4" borderId="24" xfId="1" applyFont="1" applyFill="1" applyBorder="1"/>
    <xf numFmtId="43" fontId="0" fillId="0" borderId="37" xfId="1" applyFont="1" applyBorder="1"/>
    <xf numFmtId="43" fontId="0" fillId="0" borderId="0" xfId="1" applyFont="1"/>
    <xf numFmtId="43" fontId="0" fillId="4" borderId="0" xfId="1" applyFont="1" applyFill="1"/>
    <xf numFmtId="0" fontId="0" fillId="19" borderId="0" xfId="0" applyFill="1"/>
    <xf numFmtId="0" fontId="0" fillId="19" borderId="3" xfId="0" applyFill="1" applyBorder="1"/>
    <xf numFmtId="0" fontId="0" fillId="19" borderId="20" xfId="0" applyFill="1" applyBorder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colors>
    <mruColors>
      <color rgb="FFDDEBF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92D050"/>
  </sheetPr>
  <dimension ref="A1:EQ133"/>
  <sheetViews>
    <sheetView tabSelected="1" zoomScale="95" zoomScaleNormal="95" workbookViewId="0">
      <pane xSplit="5" ySplit="6" topLeftCell="F104" activePane="bottomRight" state="frozen"/>
      <selection pane="topRight" activeCell="F1" sqref="F1"/>
      <selection pane="bottomLeft" activeCell="A7" sqref="A7"/>
      <selection pane="bottomRight"/>
    </sheetView>
  </sheetViews>
  <sheetFormatPr defaultRowHeight="14.25" x14ac:dyDescent="0.45"/>
  <cols>
    <col min="1" max="1" width="31.59765625" bestFit="1" customWidth="1"/>
    <col min="2" max="2" width="8.1328125" customWidth="1"/>
    <col min="3" max="3" width="12.86328125" bestFit="1" customWidth="1"/>
    <col min="4" max="4" width="20.3984375" bestFit="1" customWidth="1"/>
    <col min="5" max="5" width="11.59765625" bestFit="1" customWidth="1"/>
    <col min="6" max="6" width="16.86328125" bestFit="1" customWidth="1"/>
    <col min="10" max="10" width="8.86328125" bestFit="1" customWidth="1"/>
    <col min="11" max="11" width="8" bestFit="1" customWidth="1"/>
    <col min="12" max="12" width="8.86328125" bestFit="1" customWidth="1"/>
    <col min="13" max="13" width="8" bestFit="1" customWidth="1"/>
    <col min="14" max="17" width="9.3984375" bestFit="1" customWidth="1"/>
    <col min="19" max="19" width="9.59765625" customWidth="1"/>
    <col min="20" max="20" width="11.73046875" customWidth="1"/>
    <col min="23" max="23" width="10" customWidth="1"/>
    <col min="27" max="27" width="9.59765625" customWidth="1"/>
    <col min="58" max="58" width="24.33203125" bestFit="1" customWidth="1"/>
    <col min="80" max="80" width="22.3984375" bestFit="1" customWidth="1"/>
    <col min="81" max="81" width="29.265625" bestFit="1" customWidth="1"/>
    <col min="84" max="84" width="30.19921875" bestFit="1" customWidth="1"/>
    <col min="86" max="86" width="9.59765625" bestFit="1" customWidth="1"/>
    <col min="111" max="111" width="24.33203125" bestFit="1" customWidth="1"/>
  </cols>
  <sheetData>
    <row r="1" spans="1:147" x14ac:dyDescent="0.45">
      <c r="A1" t="s">
        <v>7</v>
      </c>
      <c r="G1" t="s">
        <v>884</v>
      </c>
      <c r="I1" t="s">
        <v>885</v>
      </c>
      <c r="J1" t="s">
        <v>617</v>
      </c>
      <c r="K1" t="s">
        <v>618</v>
      </c>
      <c r="L1" t="s">
        <v>619</v>
      </c>
      <c r="M1" t="s">
        <v>620</v>
      </c>
      <c r="N1" t="s">
        <v>637</v>
      </c>
      <c r="O1" t="s">
        <v>638</v>
      </c>
      <c r="P1" t="s">
        <v>639</v>
      </c>
      <c r="Q1" t="s">
        <v>640</v>
      </c>
      <c r="R1" t="s">
        <v>625</v>
      </c>
      <c r="S1" t="s">
        <v>626</v>
      </c>
      <c r="T1" t="s">
        <v>627</v>
      </c>
      <c r="U1" t="s">
        <v>628</v>
      </c>
      <c r="V1" t="s">
        <v>629</v>
      </c>
      <c r="W1" t="s">
        <v>630</v>
      </c>
      <c r="X1" t="s">
        <v>631</v>
      </c>
      <c r="Y1" t="s">
        <v>632</v>
      </c>
      <c r="Z1" t="s">
        <v>633</v>
      </c>
      <c r="AA1" t="s">
        <v>634</v>
      </c>
      <c r="AB1" t="s">
        <v>635</v>
      </c>
      <c r="AC1" t="s">
        <v>636</v>
      </c>
      <c r="AD1" t="s">
        <v>641</v>
      </c>
      <c r="AE1" t="s">
        <v>642</v>
      </c>
      <c r="AF1" t="s">
        <v>643</v>
      </c>
      <c r="AG1" t="s">
        <v>644</v>
      </c>
      <c r="AH1" t="s">
        <v>645</v>
      </c>
      <c r="AI1" t="s">
        <v>646</v>
      </c>
      <c r="AJ1" t="s">
        <v>647</v>
      </c>
      <c r="AK1" t="s">
        <v>648</v>
      </c>
      <c r="AL1" t="s">
        <v>649</v>
      </c>
      <c r="AM1" t="s">
        <v>650</v>
      </c>
      <c r="AN1" t="s">
        <v>651</v>
      </c>
      <c r="AO1" t="s">
        <v>652</v>
      </c>
      <c r="AP1" t="s">
        <v>706</v>
      </c>
      <c r="AQ1" t="s">
        <v>707</v>
      </c>
      <c r="AR1" t="s">
        <v>708</v>
      </c>
      <c r="AS1" t="s">
        <v>709</v>
      </c>
      <c r="AT1" t="s">
        <v>710</v>
      </c>
      <c r="AU1" t="s">
        <v>711</v>
      </c>
      <c r="AV1" t="s">
        <v>712</v>
      </c>
      <c r="AW1" t="s">
        <v>713</v>
      </c>
      <c r="AX1" t="s">
        <v>714</v>
      </c>
      <c r="AY1" t="s">
        <v>715</v>
      </c>
      <c r="AZ1" t="s">
        <v>716</v>
      </c>
      <c r="BA1" t="s">
        <v>717</v>
      </c>
      <c r="BB1" t="s">
        <v>718</v>
      </c>
      <c r="BC1" t="s">
        <v>719</v>
      </c>
      <c r="BD1" t="s">
        <v>720</v>
      </c>
      <c r="BE1" t="s">
        <v>721</v>
      </c>
      <c r="BF1" t="s">
        <v>722</v>
      </c>
      <c r="BG1" t="s">
        <v>723</v>
      </c>
      <c r="BH1" t="s">
        <v>724</v>
      </c>
      <c r="BI1" t="s">
        <v>725</v>
      </c>
      <c r="BJ1" t="s">
        <v>726</v>
      </c>
      <c r="BK1" t="s">
        <v>727</v>
      </c>
      <c r="BL1" t="s">
        <v>728</v>
      </c>
      <c r="BM1" t="s">
        <v>729</v>
      </c>
      <c r="BN1" t="s">
        <v>730</v>
      </c>
      <c r="BO1" t="s">
        <v>731</v>
      </c>
      <c r="BP1" t="s">
        <v>732</v>
      </c>
      <c r="BQ1" t="s">
        <v>733</v>
      </c>
      <c r="BR1" t="s">
        <v>734</v>
      </c>
      <c r="BS1" t="s">
        <v>735</v>
      </c>
      <c r="BT1" t="s">
        <v>736</v>
      </c>
      <c r="BU1" t="s">
        <v>737</v>
      </c>
      <c r="BV1" t="s">
        <v>738</v>
      </c>
      <c r="BW1" t="s">
        <v>739</v>
      </c>
      <c r="BX1" t="s">
        <v>740</v>
      </c>
      <c r="BY1" t="s">
        <v>741</v>
      </c>
      <c r="BZ1" t="s">
        <v>742</v>
      </c>
      <c r="CA1" t="s">
        <v>743</v>
      </c>
      <c r="CB1" t="s">
        <v>744</v>
      </c>
      <c r="CC1" t="s">
        <v>745</v>
      </c>
      <c r="CD1" t="s">
        <v>746</v>
      </c>
      <c r="CE1" t="s">
        <v>747</v>
      </c>
      <c r="CF1" t="s">
        <v>748</v>
      </c>
      <c r="CG1" t="s">
        <v>749</v>
      </c>
      <c r="CH1" t="s">
        <v>750</v>
      </c>
      <c r="CI1" t="s">
        <v>751</v>
      </c>
      <c r="CJ1" t="s">
        <v>752</v>
      </c>
      <c r="CK1" t="s">
        <v>753</v>
      </c>
      <c r="CL1" t="s">
        <v>754</v>
      </c>
      <c r="CM1" t="s">
        <v>755</v>
      </c>
      <c r="CN1" t="s">
        <v>756</v>
      </c>
      <c r="CO1" t="s">
        <v>757</v>
      </c>
      <c r="CP1" t="s">
        <v>758</v>
      </c>
      <c r="CQ1" t="s">
        <v>653</v>
      </c>
      <c r="CR1" t="s">
        <v>654</v>
      </c>
      <c r="CS1" t="s">
        <v>655</v>
      </c>
      <c r="CT1" t="s">
        <v>656</v>
      </c>
      <c r="CU1" t="s">
        <v>657</v>
      </c>
      <c r="CV1" t="s">
        <v>658</v>
      </c>
      <c r="CW1" t="s">
        <v>659</v>
      </c>
      <c r="CX1" t="s">
        <v>660</v>
      </c>
      <c r="CY1" t="s">
        <v>661</v>
      </c>
      <c r="CZ1" t="s">
        <v>662</v>
      </c>
      <c r="DA1" t="s">
        <v>663</v>
      </c>
      <c r="DB1" t="s">
        <v>664</v>
      </c>
      <c r="DC1" t="s">
        <v>665</v>
      </c>
      <c r="DD1" t="s">
        <v>666</v>
      </c>
      <c r="DE1" t="s">
        <v>667</v>
      </c>
      <c r="DF1" t="s">
        <v>668</v>
      </c>
      <c r="DG1" t="s">
        <v>669</v>
      </c>
      <c r="DH1" t="s">
        <v>670</v>
      </c>
      <c r="DI1" t="s">
        <v>671</v>
      </c>
      <c r="DJ1" t="s">
        <v>672</v>
      </c>
      <c r="DK1" t="s">
        <v>673</v>
      </c>
      <c r="DL1" t="s">
        <v>674</v>
      </c>
      <c r="DM1" t="s">
        <v>675</v>
      </c>
      <c r="DN1" t="s">
        <v>676</v>
      </c>
      <c r="DO1" t="s">
        <v>677</v>
      </c>
      <c r="DP1" t="s">
        <v>678</v>
      </c>
      <c r="DQ1" t="s">
        <v>679</v>
      </c>
      <c r="DR1" t="s">
        <v>680</v>
      </c>
      <c r="DS1" t="s">
        <v>681</v>
      </c>
      <c r="DT1" t="s">
        <v>682</v>
      </c>
      <c r="DU1" t="s">
        <v>683</v>
      </c>
      <c r="DV1" t="s">
        <v>684</v>
      </c>
      <c r="DW1" t="s">
        <v>685</v>
      </c>
      <c r="DX1" t="s">
        <v>686</v>
      </c>
      <c r="DY1" t="s">
        <v>687</v>
      </c>
      <c r="DZ1" t="s">
        <v>688</v>
      </c>
      <c r="EA1" t="s">
        <v>689</v>
      </c>
      <c r="EB1" t="s">
        <v>690</v>
      </c>
      <c r="EC1" t="s">
        <v>691</v>
      </c>
      <c r="ED1" t="s">
        <v>692</v>
      </c>
      <c r="EE1" t="s">
        <v>693</v>
      </c>
      <c r="EF1" t="s">
        <v>694</v>
      </c>
      <c r="EG1" t="s">
        <v>695</v>
      </c>
      <c r="EH1" t="s">
        <v>696</v>
      </c>
      <c r="EI1" t="s">
        <v>697</v>
      </c>
      <c r="EJ1" t="s">
        <v>698</v>
      </c>
      <c r="EK1" t="s">
        <v>699</v>
      </c>
      <c r="EL1" t="s">
        <v>700</v>
      </c>
      <c r="EM1" t="s">
        <v>701</v>
      </c>
      <c r="EN1" t="s">
        <v>702</v>
      </c>
      <c r="EO1" t="s">
        <v>703</v>
      </c>
      <c r="EP1" t="s">
        <v>704</v>
      </c>
      <c r="EQ1" t="s">
        <v>705</v>
      </c>
    </row>
    <row r="2" spans="1:147" x14ac:dyDescent="0.45">
      <c r="C2" s="40"/>
      <c r="D2" s="40"/>
      <c r="E2" s="40"/>
      <c r="F2" s="40"/>
      <c r="G2" t="s">
        <v>423</v>
      </c>
      <c r="J2" s="42" t="s">
        <v>21</v>
      </c>
      <c r="K2" s="42"/>
      <c r="L2" s="42"/>
      <c r="M2" s="42"/>
      <c r="N2" s="41"/>
      <c r="O2" s="41"/>
      <c r="P2" s="41"/>
      <c r="Q2" s="43"/>
      <c r="R2" s="40" t="s">
        <v>283</v>
      </c>
      <c r="S2" s="40"/>
      <c r="T2" s="40"/>
      <c r="U2" s="40"/>
      <c r="V2" s="40"/>
      <c r="W2" s="40"/>
      <c r="X2" s="40"/>
      <c r="Y2" s="40"/>
      <c r="Z2" s="40"/>
      <c r="AA2" s="40"/>
      <c r="AB2" s="40"/>
      <c r="AC2" s="40"/>
      <c r="AD2" s="40"/>
      <c r="AE2" s="40"/>
      <c r="AF2" s="40"/>
      <c r="AG2" s="40"/>
      <c r="AH2" s="40"/>
      <c r="AI2" s="40"/>
      <c r="AJ2" s="40"/>
      <c r="AK2" s="40"/>
      <c r="AL2" s="40"/>
      <c r="AM2" s="40"/>
      <c r="AN2" s="40"/>
      <c r="AO2" s="40"/>
      <c r="AP2" t="s">
        <v>481</v>
      </c>
      <c r="AQ2" t="s">
        <v>482</v>
      </c>
      <c r="AR2" t="s">
        <v>483</v>
      </c>
      <c r="AS2" t="s">
        <v>484</v>
      </c>
      <c r="AT2" t="s">
        <v>485</v>
      </c>
      <c r="AU2" t="s">
        <v>486</v>
      </c>
      <c r="AV2" t="s">
        <v>487</v>
      </c>
      <c r="AW2" t="s">
        <v>488</v>
      </c>
      <c r="AX2" t="s">
        <v>489</v>
      </c>
      <c r="AY2" t="s">
        <v>490</v>
      </c>
      <c r="AZ2" t="s">
        <v>491</v>
      </c>
      <c r="BA2" t="s">
        <v>492</v>
      </c>
      <c r="BB2" t="s">
        <v>493</v>
      </c>
      <c r="BC2" t="s">
        <v>494</v>
      </c>
      <c r="BD2" t="s">
        <v>495</v>
      </c>
      <c r="BE2" t="s">
        <v>496</v>
      </c>
      <c r="BF2" t="s">
        <v>497</v>
      </c>
      <c r="BG2" t="s">
        <v>498</v>
      </c>
      <c r="BH2" t="s">
        <v>499</v>
      </c>
      <c r="BI2" t="s">
        <v>500</v>
      </c>
      <c r="BJ2" t="s">
        <v>501</v>
      </c>
      <c r="BK2" t="s">
        <v>502</v>
      </c>
      <c r="BL2" t="s">
        <v>503</v>
      </c>
      <c r="BM2" t="s">
        <v>504</v>
      </c>
      <c r="BN2" t="s">
        <v>505</v>
      </c>
      <c r="BO2" t="s">
        <v>506</v>
      </c>
      <c r="BP2" t="s">
        <v>507</v>
      </c>
      <c r="BQ2" t="s">
        <v>508</v>
      </c>
      <c r="BR2" t="s">
        <v>509</v>
      </c>
      <c r="BS2" t="s">
        <v>510</v>
      </c>
      <c r="BT2" t="s">
        <v>511</v>
      </c>
      <c r="BU2" t="s">
        <v>512</v>
      </c>
      <c r="BV2" t="s">
        <v>513</v>
      </c>
      <c r="BW2" t="s">
        <v>514</v>
      </c>
      <c r="BX2" t="s">
        <v>515</v>
      </c>
      <c r="BY2" t="s">
        <v>516</v>
      </c>
      <c r="BZ2" t="s">
        <v>517</v>
      </c>
      <c r="CA2" t="s">
        <v>518</v>
      </c>
      <c r="CB2" t="s">
        <v>519</v>
      </c>
      <c r="CC2" t="s">
        <v>520</v>
      </c>
      <c r="CD2" t="s">
        <v>521</v>
      </c>
      <c r="CE2" t="s">
        <v>522</v>
      </c>
      <c r="CF2" t="s">
        <v>523</v>
      </c>
      <c r="CG2" t="s">
        <v>524</v>
      </c>
      <c r="CH2" t="s">
        <v>525</v>
      </c>
      <c r="CI2" t="s">
        <v>526</v>
      </c>
      <c r="CJ2" t="s">
        <v>527</v>
      </c>
      <c r="CK2" t="s">
        <v>528</v>
      </c>
      <c r="CL2" t="s">
        <v>529</v>
      </c>
      <c r="CM2" t="s">
        <v>530</v>
      </c>
      <c r="CN2" t="s">
        <v>531</v>
      </c>
      <c r="CO2" t="s">
        <v>532</v>
      </c>
      <c r="CP2" t="s">
        <v>533</v>
      </c>
      <c r="CQ2" t="s">
        <v>481</v>
      </c>
      <c r="CR2" t="s">
        <v>482</v>
      </c>
      <c r="CS2" t="s">
        <v>483</v>
      </c>
      <c r="CT2" t="s">
        <v>484</v>
      </c>
      <c r="CU2" t="s">
        <v>485</v>
      </c>
      <c r="CV2" t="s">
        <v>486</v>
      </c>
      <c r="CW2" t="s">
        <v>487</v>
      </c>
      <c r="CX2" t="s">
        <v>488</v>
      </c>
      <c r="CY2" t="s">
        <v>489</v>
      </c>
      <c r="CZ2" t="s">
        <v>490</v>
      </c>
      <c r="DA2" t="s">
        <v>491</v>
      </c>
      <c r="DB2" t="s">
        <v>492</v>
      </c>
      <c r="DC2" t="s">
        <v>493</v>
      </c>
      <c r="DD2" t="s">
        <v>494</v>
      </c>
      <c r="DE2" t="s">
        <v>495</v>
      </c>
      <c r="DF2" t="s">
        <v>496</v>
      </c>
      <c r="DG2" t="s">
        <v>497</v>
      </c>
      <c r="DH2" t="s">
        <v>498</v>
      </c>
      <c r="DI2" t="s">
        <v>499</v>
      </c>
      <c r="DJ2" t="s">
        <v>500</v>
      </c>
      <c r="DK2" t="s">
        <v>501</v>
      </c>
      <c r="DL2" t="s">
        <v>502</v>
      </c>
      <c r="DM2" t="s">
        <v>503</v>
      </c>
      <c r="DN2" t="s">
        <v>504</v>
      </c>
      <c r="DO2" t="s">
        <v>505</v>
      </c>
      <c r="DP2" t="s">
        <v>506</v>
      </c>
      <c r="DQ2" t="s">
        <v>507</v>
      </c>
      <c r="DR2" t="s">
        <v>508</v>
      </c>
      <c r="DS2" t="s">
        <v>509</v>
      </c>
      <c r="DT2" t="s">
        <v>510</v>
      </c>
      <c r="DU2" t="s">
        <v>511</v>
      </c>
      <c r="DV2" t="s">
        <v>512</v>
      </c>
      <c r="DW2" t="s">
        <v>513</v>
      </c>
      <c r="DX2" t="s">
        <v>514</v>
      </c>
      <c r="DY2" t="s">
        <v>515</v>
      </c>
      <c r="DZ2" t="s">
        <v>516</v>
      </c>
      <c r="EA2" t="s">
        <v>517</v>
      </c>
      <c r="EB2" t="s">
        <v>518</v>
      </c>
      <c r="EC2" t="s">
        <v>519</v>
      </c>
      <c r="ED2" t="s">
        <v>520</v>
      </c>
      <c r="EE2" t="s">
        <v>521</v>
      </c>
      <c r="EF2" t="s">
        <v>522</v>
      </c>
      <c r="EG2" t="s">
        <v>523</v>
      </c>
      <c r="EH2" t="s">
        <v>524</v>
      </c>
      <c r="EI2" t="s">
        <v>525</v>
      </c>
      <c r="EJ2" t="s">
        <v>526</v>
      </c>
      <c r="EK2" t="s">
        <v>527</v>
      </c>
      <c r="EL2" t="s">
        <v>528</v>
      </c>
      <c r="EM2" t="s">
        <v>529</v>
      </c>
      <c r="EN2" t="s">
        <v>530</v>
      </c>
      <c r="EO2" t="s">
        <v>531</v>
      </c>
      <c r="EP2" t="s">
        <v>532</v>
      </c>
      <c r="EQ2" t="s">
        <v>533</v>
      </c>
    </row>
    <row r="3" spans="1:147" x14ac:dyDescent="0.45">
      <c r="G3" t="s">
        <v>419</v>
      </c>
      <c r="I3" t="s">
        <v>420</v>
      </c>
      <c r="J3" s="44" t="s">
        <v>419</v>
      </c>
      <c r="K3" s="44" t="s">
        <v>419</v>
      </c>
      <c r="L3" s="44" t="s">
        <v>419</v>
      </c>
      <c r="M3" s="44" t="s">
        <v>419</v>
      </c>
      <c r="N3" s="44" t="s">
        <v>420</v>
      </c>
      <c r="O3" s="44" t="s">
        <v>420</v>
      </c>
      <c r="P3" s="44" t="s">
        <v>420</v>
      </c>
      <c r="Q3" s="45" t="s">
        <v>420</v>
      </c>
      <c r="R3" t="s">
        <v>419</v>
      </c>
      <c r="S3" t="s">
        <v>419</v>
      </c>
      <c r="T3" t="s">
        <v>419</v>
      </c>
      <c r="U3" t="s">
        <v>419</v>
      </c>
      <c r="V3" t="s">
        <v>419</v>
      </c>
      <c r="W3" t="s">
        <v>419</v>
      </c>
      <c r="X3" t="s">
        <v>419</v>
      </c>
      <c r="Y3" t="s">
        <v>419</v>
      </c>
      <c r="Z3" t="s">
        <v>419</v>
      </c>
      <c r="AA3" t="s">
        <v>419</v>
      </c>
      <c r="AB3" t="s">
        <v>419</v>
      </c>
      <c r="AC3" t="s">
        <v>419</v>
      </c>
      <c r="AD3" t="s">
        <v>420</v>
      </c>
      <c r="AE3" t="s">
        <v>420</v>
      </c>
      <c r="AF3" t="s">
        <v>420</v>
      </c>
      <c r="AG3" t="s">
        <v>420</v>
      </c>
      <c r="AH3" t="s">
        <v>420</v>
      </c>
      <c r="AI3" t="s">
        <v>420</v>
      </c>
      <c r="AJ3" t="s">
        <v>420</v>
      </c>
      <c r="AK3" t="s">
        <v>420</v>
      </c>
      <c r="AL3" t="s">
        <v>420</v>
      </c>
      <c r="AM3" t="s">
        <v>420</v>
      </c>
      <c r="AN3" t="s">
        <v>420</v>
      </c>
      <c r="AO3" t="s">
        <v>420</v>
      </c>
      <c r="AP3" t="s">
        <v>419</v>
      </c>
      <c r="AQ3" t="s">
        <v>419</v>
      </c>
      <c r="AR3" t="s">
        <v>419</v>
      </c>
      <c r="AS3" t="s">
        <v>419</v>
      </c>
      <c r="AT3" t="s">
        <v>419</v>
      </c>
      <c r="AU3" t="s">
        <v>419</v>
      </c>
      <c r="AV3" t="s">
        <v>419</v>
      </c>
      <c r="AW3" t="s">
        <v>419</v>
      </c>
      <c r="AX3" t="s">
        <v>419</v>
      </c>
      <c r="AY3" t="s">
        <v>419</v>
      </c>
      <c r="AZ3" t="s">
        <v>419</v>
      </c>
      <c r="BA3" t="s">
        <v>419</v>
      </c>
      <c r="BB3" t="s">
        <v>419</v>
      </c>
      <c r="BC3" t="s">
        <v>419</v>
      </c>
      <c r="BD3" t="s">
        <v>419</v>
      </c>
      <c r="BE3" t="s">
        <v>419</v>
      </c>
      <c r="BF3" t="s">
        <v>419</v>
      </c>
      <c r="BG3" t="s">
        <v>419</v>
      </c>
      <c r="BH3" t="s">
        <v>419</v>
      </c>
      <c r="BI3" t="s">
        <v>419</v>
      </c>
      <c r="BJ3" t="s">
        <v>419</v>
      </c>
      <c r="BK3" t="s">
        <v>419</v>
      </c>
      <c r="BL3" t="s">
        <v>419</v>
      </c>
      <c r="BM3" t="s">
        <v>419</v>
      </c>
      <c r="BN3" t="s">
        <v>419</v>
      </c>
      <c r="BO3" t="s">
        <v>419</v>
      </c>
      <c r="BP3" t="s">
        <v>419</v>
      </c>
      <c r="BQ3" t="s">
        <v>419</v>
      </c>
      <c r="BR3" t="s">
        <v>419</v>
      </c>
      <c r="BS3" t="s">
        <v>419</v>
      </c>
      <c r="BT3" t="s">
        <v>419</v>
      </c>
      <c r="BU3" t="s">
        <v>419</v>
      </c>
      <c r="BV3" t="s">
        <v>419</v>
      </c>
      <c r="BW3" t="s">
        <v>419</v>
      </c>
      <c r="BX3" t="s">
        <v>419</v>
      </c>
      <c r="BY3" t="s">
        <v>419</v>
      </c>
      <c r="BZ3" t="s">
        <v>419</v>
      </c>
      <c r="CA3" t="s">
        <v>419</v>
      </c>
      <c r="CB3" t="s">
        <v>419</v>
      </c>
      <c r="CC3" t="s">
        <v>419</v>
      </c>
      <c r="CD3" t="s">
        <v>419</v>
      </c>
      <c r="CE3" t="s">
        <v>419</v>
      </c>
      <c r="CF3" t="s">
        <v>419</v>
      </c>
      <c r="CG3" t="s">
        <v>419</v>
      </c>
      <c r="CH3" t="s">
        <v>419</v>
      </c>
      <c r="CI3" t="s">
        <v>419</v>
      </c>
      <c r="CJ3" t="s">
        <v>419</v>
      </c>
      <c r="CK3" t="s">
        <v>419</v>
      </c>
      <c r="CL3" t="s">
        <v>419</v>
      </c>
      <c r="CM3" t="s">
        <v>419</v>
      </c>
      <c r="CN3" t="s">
        <v>419</v>
      </c>
      <c r="CO3" t="s">
        <v>419</v>
      </c>
      <c r="CP3" t="s">
        <v>419</v>
      </c>
      <c r="CQ3" t="s">
        <v>422</v>
      </c>
      <c r="CR3" t="s">
        <v>422</v>
      </c>
      <c r="CS3" t="s">
        <v>422</v>
      </c>
      <c r="CT3" t="s">
        <v>422</v>
      </c>
      <c r="CU3" t="s">
        <v>422</v>
      </c>
      <c r="CV3" t="s">
        <v>422</v>
      </c>
      <c r="CW3" t="s">
        <v>422</v>
      </c>
      <c r="CX3" t="s">
        <v>422</v>
      </c>
      <c r="CY3" t="s">
        <v>422</v>
      </c>
      <c r="CZ3" t="s">
        <v>422</v>
      </c>
      <c r="DA3" t="s">
        <v>422</v>
      </c>
      <c r="DB3" t="s">
        <v>422</v>
      </c>
      <c r="DC3" t="s">
        <v>422</v>
      </c>
      <c r="DD3" t="s">
        <v>422</v>
      </c>
      <c r="DE3" t="s">
        <v>422</v>
      </c>
      <c r="DF3" t="s">
        <v>422</v>
      </c>
      <c r="DG3" t="s">
        <v>422</v>
      </c>
      <c r="DH3" t="s">
        <v>422</v>
      </c>
      <c r="DI3" t="s">
        <v>422</v>
      </c>
      <c r="DJ3" t="s">
        <v>422</v>
      </c>
      <c r="DK3" t="s">
        <v>422</v>
      </c>
      <c r="DL3" t="s">
        <v>422</v>
      </c>
      <c r="DM3" t="s">
        <v>422</v>
      </c>
      <c r="DN3" t="s">
        <v>422</v>
      </c>
      <c r="DO3" t="s">
        <v>422</v>
      </c>
      <c r="DP3" t="s">
        <v>422</v>
      </c>
      <c r="DQ3" t="s">
        <v>422</v>
      </c>
      <c r="DR3" t="s">
        <v>422</v>
      </c>
      <c r="DS3" t="s">
        <v>422</v>
      </c>
      <c r="DT3" t="s">
        <v>422</v>
      </c>
      <c r="DU3" t="s">
        <v>422</v>
      </c>
      <c r="DV3" t="s">
        <v>422</v>
      </c>
      <c r="DW3" t="s">
        <v>422</v>
      </c>
      <c r="DX3" t="s">
        <v>422</v>
      </c>
      <c r="DY3" t="s">
        <v>422</v>
      </c>
      <c r="DZ3" t="s">
        <v>422</v>
      </c>
      <c r="EA3" t="s">
        <v>422</v>
      </c>
      <c r="EB3" t="s">
        <v>422</v>
      </c>
      <c r="EC3" t="s">
        <v>422</v>
      </c>
      <c r="ED3" t="s">
        <v>422</v>
      </c>
      <c r="EE3" t="s">
        <v>422</v>
      </c>
      <c r="EF3" t="s">
        <v>422</v>
      </c>
      <c r="EG3" t="s">
        <v>422</v>
      </c>
      <c r="EH3" t="s">
        <v>422</v>
      </c>
      <c r="EI3" t="s">
        <v>422</v>
      </c>
      <c r="EJ3" t="s">
        <v>422</v>
      </c>
      <c r="EK3" t="s">
        <v>422</v>
      </c>
      <c r="EL3" t="s">
        <v>422</v>
      </c>
      <c r="EM3" t="s">
        <v>422</v>
      </c>
      <c r="EN3" t="s">
        <v>422</v>
      </c>
      <c r="EO3" t="s">
        <v>422</v>
      </c>
      <c r="EP3" t="s">
        <v>422</v>
      </c>
      <c r="EQ3" t="s">
        <v>422</v>
      </c>
    </row>
    <row r="4" spans="1:147" ht="58.9" x14ac:dyDescent="0.45">
      <c r="A4" s="62" t="s">
        <v>606</v>
      </c>
      <c r="B4" s="62"/>
      <c r="C4" s="52"/>
      <c r="D4" s="52"/>
      <c r="E4" s="52"/>
      <c r="F4" s="52"/>
      <c r="G4" s="66" t="s">
        <v>423</v>
      </c>
      <c r="H4" s="66"/>
      <c r="I4" s="62" t="s">
        <v>423</v>
      </c>
      <c r="J4" s="71" t="s">
        <v>1</v>
      </c>
      <c r="K4" s="71" t="s">
        <v>2</v>
      </c>
      <c r="L4" s="71" t="s">
        <v>3</v>
      </c>
      <c r="M4" s="71" t="s">
        <v>4</v>
      </c>
      <c r="N4" s="46" t="s">
        <v>1</v>
      </c>
      <c r="O4" s="46" t="s">
        <v>2</v>
      </c>
      <c r="P4" s="46" t="s">
        <v>3</v>
      </c>
      <c r="Q4" s="46" t="s">
        <v>4</v>
      </c>
      <c r="R4" s="50" t="s">
        <v>266</v>
      </c>
      <c r="S4" s="50" t="s">
        <v>267</v>
      </c>
      <c r="T4" s="50" t="s">
        <v>284</v>
      </c>
      <c r="U4" s="50" t="s">
        <v>268</v>
      </c>
      <c r="V4" s="50" t="s">
        <v>269</v>
      </c>
      <c r="W4" s="50" t="s">
        <v>270</v>
      </c>
      <c r="X4" s="50" t="s">
        <v>271</v>
      </c>
      <c r="Y4" s="50" t="s">
        <v>272</v>
      </c>
      <c r="Z4" s="50" t="s">
        <v>273</v>
      </c>
      <c r="AA4" s="50" t="s">
        <v>7</v>
      </c>
      <c r="AB4" s="50" t="s">
        <v>285</v>
      </c>
      <c r="AC4" s="50" t="s">
        <v>275</v>
      </c>
      <c r="AD4" s="52" t="s">
        <v>266</v>
      </c>
      <c r="AE4" s="52" t="s">
        <v>267</v>
      </c>
      <c r="AF4" s="52" t="s">
        <v>284</v>
      </c>
      <c r="AG4" s="52" t="s">
        <v>268</v>
      </c>
      <c r="AH4" s="52" t="s">
        <v>269</v>
      </c>
      <c r="AI4" s="52" t="s">
        <v>270</v>
      </c>
      <c r="AJ4" s="52" t="s">
        <v>271</v>
      </c>
      <c r="AK4" s="52" t="s">
        <v>272</v>
      </c>
      <c r="AL4" s="52" t="s">
        <v>273</v>
      </c>
      <c r="AM4" s="52" t="s">
        <v>7</v>
      </c>
      <c r="AN4" s="52" t="s">
        <v>285</v>
      </c>
      <c r="AO4" s="52" t="s">
        <v>275</v>
      </c>
      <c r="AP4" s="49" t="s">
        <v>440</v>
      </c>
      <c r="AQ4" s="49" t="s">
        <v>441</v>
      </c>
      <c r="AR4" s="49" t="s">
        <v>442</v>
      </c>
      <c r="AS4" s="49" t="s">
        <v>443</v>
      </c>
      <c r="AT4" s="49" t="s">
        <v>444</v>
      </c>
      <c r="AU4" s="49" t="s">
        <v>445</v>
      </c>
      <c r="AV4" s="49" t="s">
        <v>446</v>
      </c>
      <c r="AW4" s="49" t="s">
        <v>447</v>
      </c>
      <c r="AX4" s="49" t="s">
        <v>448</v>
      </c>
      <c r="AY4" s="49" t="s">
        <v>449</v>
      </c>
      <c r="AZ4" s="49" t="s">
        <v>450</v>
      </c>
      <c r="BA4" s="49" t="s">
        <v>451</v>
      </c>
      <c r="BB4" s="49" t="s">
        <v>452</v>
      </c>
      <c r="BC4" s="49" t="s">
        <v>453</v>
      </c>
      <c r="BD4" s="49" t="s">
        <v>608</v>
      </c>
      <c r="BE4" s="49" t="s">
        <v>454</v>
      </c>
      <c r="BF4" s="49" t="s">
        <v>922</v>
      </c>
      <c r="BG4" s="49" t="s">
        <v>455</v>
      </c>
      <c r="BH4" s="49" t="s">
        <v>456</v>
      </c>
      <c r="BI4" s="49" t="s">
        <v>457</v>
      </c>
      <c r="BJ4" s="49" t="s">
        <v>609</v>
      </c>
      <c r="BK4" s="49" t="s">
        <v>458</v>
      </c>
      <c r="BL4" s="49" t="s">
        <v>611</v>
      </c>
      <c r="BM4" s="49" t="s">
        <v>459</v>
      </c>
      <c r="BN4" s="49" t="s">
        <v>759</v>
      </c>
      <c r="BO4" s="49" t="s">
        <v>612</v>
      </c>
      <c r="BP4" s="49" t="s">
        <v>899</v>
      </c>
      <c r="BQ4" s="49" t="s">
        <v>460</v>
      </c>
      <c r="BR4" s="49" t="s">
        <v>461</v>
      </c>
      <c r="BS4" s="49" t="s">
        <v>462</v>
      </c>
      <c r="BT4" s="49" t="s">
        <v>463</v>
      </c>
      <c r="BU4" s="49" t="s">
        <v>464</v>
      </c>
      <c r="BV4" s="49" t="s">
        <v>465</v>
      </c>
      <c r="BW4" s="49" t="s">
        <v>466</v>
      </c>
      <c r="BX4" s="49" t="s">
        <v>467</v>
      </c>
      <c r="BY4" s="49" t="s">
        <v>468</v>
      </c>
      <c r="BZ4" s="49" t="s">
        <v>469</v>
      </c>
      <c r="CA4" s="49" t="s">
        <v>470</v>
      </c>
      <c r="CB4" s="49" t="s">
        <v>471</v>
      </c>
      <c r="CC4" s="49" t="s">
        <v>924</v>
      </c>
      <c r="CD4" s="49" t="s">
        <v>610</v>
      </c>
      <c r="CE4" s="49" t="s">
        <v>613</v>
      </c>
      <c r="CF4" s="49" t="s">
        <v>925</v>
      </c>
      <c r="CG4" s="49" t="s">
        <v>472</v>
      </c>
      <c r="CH4" s="49" t="s">
        <v>923</v>
      </c>
      <c r="CI4" s="49" t="s">
        <v>473</v>
      </c>
      <c r="CJ4" s="49" t="s">
        <v>474</v>
      </c>
      <c r="CK4" s="49" t="s">
        <v>475</v>
      </c>
      <c r="CL4" s="49" t="s">
        <v>476</v>
      </c>
      <c r="CM4" s="49" t="s">
        <v>477</v>
      </c>
      <c r="CN4" s="49" t="s">
        <v>478</v>
      </c>
      <c r="CO4" s="49" t="s">
        <v>479</v>
      </c>
      <c r="CP4" s="49" t="s">
        <v>480</v>
      </c>
      <c r="CQ4" s="54" t="s">
        <v>440</v>
      </c>
      <c r="CR4" s="54" t="s">
        <v>441</v>
      </c>
      <c r="CS4" s="54" t="s">
        <v>442</v>
      </c>
      <c r="CT4" s="54" t="s">
        <v>443</v>
      </c>
      <c r="CU4" s="54" t="s">
        <v>444</v>
      </c>
      <c r="CV4" s="54" t="s">
        <v>445</v>
      </c>
      <c r="CW4" s="54" t="s">
        <v>446</v>
      </c>
      <c r="CX4" s="54" t="s">
        <v>447</v>
      </c>
      <c r="CY4" s="54" t="s">
        <v>448</v>
      </c>
      <c r="CZ4" s="54" t="s">
        <v>449</v>
      </c>
      <c r="DA4" s="54" t="s">
        <v>450</v>
      </c>
      <c r="DB4" s="54" t="s">
        <v>451</v>
      </c>
      <c r="DC4" s="54" t="s">
        <v>452</v>
      </c>
      <c r="DD4" s="54" t="s">
        <v>453</v>
      </c>
      <c r="DE4" s="54" t="s">
        <v>608</v>
      </c>
      <c r="DF4" s="54" t="s">
        <v>454</v>
      </c>
      <c r="DG4" s="54" t="s">
        <v>922</v>
      </c>
      <c r="DH4" s="54" t="s">
        <v>455</v>
      </c>
      <c r="DI4" s="54" t="s">
        <v>456</v>
      </c>
      <c r="DJ4" s="54" t="s">
        <v>457</v>
      </c>
      <c r="DK4" s="54" t="s">
        <v>609</v>
      </c>
      <c r="DL4" s="54" t="s">
        <v>458</v>
      </c>
      <c r="DM4" s="54" t="s">
        <v>611</v>
      </c>
      <c r="DN4" s="54" t="s">
        <v>459</v>
      </c>
      <c r="DO4" s="54" t="s">
        <v>759</v>
      </c>
      <c r="DP4" s="54" t="s">
        <v>612</v>
      </c>
      <c r="DQ4" s="54" t="s">
        <v>899</v>
      </c>
      <c r="DR4" s="54" t="s">
        <v>460</v>
      </c>
      <c r="DS4" s="54" t="s">
        <v>461</v>
      </c>
      <c r="DT4" s="54" t="s">
        <v>462</v>
      </c>
      <c r="DU4" s="54" t="s">
        <v>463</v>
      </c>
      <c r="DV4" s="54" t="s">
        <v>464</v>
      </c>
      <c r="DW4" s="54" t="s">
        <v>465</v>
      </c>
      <c r="DX4" s="54" t="s">
        <v>466</v>
      </c>
      <c r="DY4" s="54" t="s">
        <v>467</v>
      </c>
      <c r="DZ4" s="54" t="s">
        <v>468</v>
      </c>
      <c r="EA4" s="54" t="s">
        <v>469</v>
      </c>
      <c r="EB4" s="54" t="s">
        <v>470</v>
      </c>
      <c r="EC4" s="54" t="s">
        <v>471</v>
      </c>
      <c r="ED4" s="54" t="s">
        <v>924</v>
      </c>
      <c r="EE4" s="54" t="s">
        <v>610</v>
      </c>
      <c r="EF4" s="54" t="s">
        <v>613</v>
      </c>
      <c r="EG4" s="54" t="s">
        <v>925</v>
      </c>
      <c r="EH4" s="54" t="s">
        <v>472</v>
      </c>
      <c r="EI4" s="54" t="s">
        <v>923</v>
      </c>
      <c r="EJ4" s="54" t="s">
        <v>473</v>
      </c>
      <c r="EK4" s="54" t="s">
        <v>474</v>
      </c>
      <c r="EL4" s="54" t="s">
        <v>475</v>
      </c>
      <c r="EM4" s="54" t="s">
        <v>476</v>
      </c>
      <c r="EN4" s="54" t="s">
        <v>477</v>
      </c>
      <c r="EO4" s="54" t="s">
        <v>478</v>
      </c>
      <c r="EP4" s="54" t="s">
        <v>479</v>
      </c>
      <c r="EQ4" s="54" t="s">
        <v>480</v>
      </c>
    </row>
    <row r="5" spans="1:147" x14ac:dyDescent="0.45">
      <c r="A5" s="62"/>
      <c r="B5" s="62"/>
      <c r="C5" s="53"/>
      <c r="D5" s="53"/>
      <c r="E5" s="53"/>
      <c r="F5" s="53"/>
      <c r="G5" s="65" t="s">
        <v>594</v>
      </c>
      <c r="H5" s="65"/>
      <c r="I5" s="48" t="s">
        <v>595</v>
      </c>
      <c r="J5" s="72" t="s">
        <v>424</v>
      </c>
      <c r="K5" s="72" t="s">
        <v>425</v>
      </c>
      <c r="L5" s="72" t="s">
        <v>426</v>
      </c>
      <c r="M5" s="72" t="s">
        <v>427</v>
      </c>
      <c r="N5" s="47" t="s">
        <v>424</v>
      </c>
      <c r="O5" s="47" t="s">
        <v>425</v>
      </c>
      <c r="P5" s="47" t="s">
        <v>426</v>
      </c>
      <c r="Q5" s="47" t="s">
        <v>427</v>
      </c>
      <c r="R5" s="51" t="s">
        <v>428</v>
      </c>
      <c r="S5" s="51" t="s">
        <v>429</v>
      </c>
      <c r="T5" s="51" t="s">
        <v>430</v>
      </c>
      <c r="U5" s="51" t="s">
        <v>431</v>
      </c>
      <c r="V5" s="51" t="s">
        <v>432</v>
      </c>
      <c r="W5" s="51" t="s">
        <v>433</v>
      </c>
      <c r="X5" s="51" t="s">
        <v>434</v>
      </c>
      <c r="Y5" s="51" t="s">
        <v>435</v>
      </c>
      <c r="Z5" s="51" t="s">
        <v>436</v>
      </c>
      <c r="AA5" s="51" t="s">
        <v>437</v>
      </c>
      <c r="AB5" s="51" t="s">
        <v>438</v>
      </c>
      <c r="AC5" s="51" t="s">
        <v>439</v>
      </c>
      <c r="AD5" s="53" t="s">
        <v>428</v>
      </c>
      <c r="AE5" s="53" t="s">
        <v>429</v>
      </c>
      <c r="AF5" s="53" t="s">
        <v>430</v>
      </c>
      <c r="AG5" s="53" t="s">
        <v>431</v>
      </c>
      <c r="AH5" s="53" t="s">
        <v>432</v>
      </c>
      <c r="AI5" s="53" t="s">
        <v>433</v>
      </c>
      <c r="AJ5" s="53" t="s">
        <v>434</v>
      </c>
      <c r="AK5" s="53" t="s">
        <v>435</v>
      </c>
      <c r="AL5" s="53" t="s">
        <v>436</v>
      </c>
      <c r="AM5" s="53" t="s">
        <v>437</v>
      </c>
      <c r="AN5" s="53" t="s">
        <v>438</v>
      </c>
      <c r="AO5" s="53" t="s">
        <v>439</v>
      </c>
      <c r="AP5" s="88" t="s">
        <v>534</v>
      </c>
      <c r="AQ5" s="88" t="s">
        <v>535</v>
      </c>
      <c r="AR5" s="88" t="s">
        <v>536</v>
      </c>
      <c r="AS5" s="88" t="s">
        <v>537</v>
      </c>
      <c r="AT5" s="88" t="s">
        <v>538</v>
      </c>
      <c r="AU5" s="88" t="s">
        <v>539</v>
      </c>
      <c r="AV5" s="88" t="s">
        <v>540</v>
      </c>
      <c r="AW5" s="88" t="s">
        <v>541</v>
      </c>
      <c r="AX5" s="88" t="s">
        <v>542</v>
      </c>
      <c r="AY5" s="88" t="s">
        <v>543</v>
      </c>
      <c r="AZ5" s="88" t="s">
        <v>544</v>
      </c>
      <c r="BA5" s="88" t="s">
        <v>545</v>
      </c>
      <c r="BB5" s="88" t="s">
        <v>546</v>
      </c>
      <c r="BC5" s="88" t="s">
        <v>547</v>
      </c>
      <c r="BD5" s="88" t="s">
        <v>548</v>
      </c>
      <c r="BE5" s="88" t="s">
        <v>549</v>
      </c>
      <c r="BF5" s="88" t="s">
        <v>550</v>
      </c>
      <c r="BG5" s="88" t="s">
        <v>551</v>
      </c>
      <c r="BH5" s="88" t="s">
        <v>552</v>
      </c>
      <c r="BI5" s="88" t="s">
        <v>553</v>
      </c>
      <c r="BJ5" s="88" t="s">
        <v>554</v>
      </c>
      <c r="BK5" s="88" t="s">
        <v>555</v>
      </c>
      <c r="BL5" s="88" t="s">
        <v>556</v>
      </c>
      <c r="BM5" s="88" t="s">
        <v>557</v>
      </c>
      <c r="BN5" s="88" t="s">
        <v>558</v>
      </c>
      <c r="BO5" s="88" t="s">
        <v>559</v>
      </c>
      <c r="BP5" s="88" t="s">
        <v>560</v>
      </c>
      <c r="BQ5" s="88" t="s">
        <v>561</v>
      </c>
      <c r="BR5" s="88" t="s">
        <v>562</v>
      </c>
      <c r="BS5" s="88" t="s">
        <v>563</v>
      </c>
      <c r="BT5" s="88" t="s">
        <v>564</v>
      </c>
      <c r="BU5" s="88" t="s">
        <v>565</v>
      </c>
      <c r="BV5" s="88" t="s">
        <v>566</v>
      </c>
      <c r="BW5" s="88" t="s">
        <v>567</v>
      </c>
      <c r="BX5" s="88" t="s">
        <v>568</v>
      </c>
      <c r="BY5" s="88" t="s">
        <v>569</v>
      </c>
      <c r="BZ5" s="88" t="s">
        <v>570</v>
      </c>
      <c r="CA5" s="88" t="s">
        <v>571</v>
      </c>
      <c r="CB5" s="88" t="s">
        <v>572</v>
      </c>
      <c r="CC5" s="88" t="s">
        <v>573</v>
      </c>
      <c r="CD5" s="88" t="s">
        <v>574</v>
      </c>
      <c r="CE5" s="88" t="s">
        <v>575</v>
      </c>
      <c r="CF5" s="88" t="s">
        <v>576</v>
      </c>
      <c r="CG5" s="88" t="s">
        <v>577</v>
      </c>
      <c r="CH5" s="88" t="s">
        <v>578</v>
      </c>
      <c r="CI5" s="88" t="s">
        <v>579</v>
      </c>
      <c r="CJ5" s="88" t="s">
        <v>580</v>
      </c>
      <c r="CK5" s="88" t="s">
        <v>581</v>
      </c>
      <c r="CL5" s="88" t="s">
        <v>582</v>
      </c>
      <c r="CM5" s="88" t="s">
        <v>583</v>
      </c>
      <c r="CN5" s="88" t="s">
        <v>584</v>
      </c>
      <c r="CO5" s="88" t="s">
        <v>585</v>
      </c>
      <c r="CP5" s="88" t="s">
        <v>586</v>
      </c>
      <c r="CQ5" s="89" t="s">
        <v>534</v>
      </c>
      <c r="CR5" s="89" t="s">
        <v>535</v>
      </c>
      <c r="CS5" s="89" t="s">
        <v>536</v>
      </c>
      <c r="CT5" s="89" t="s">
        <v>537</v>
      </c>
      <c r="CU5" s="89" t="s">
        <v>538</v>
      </c>
      <c r="CV5" s="89" t="s">
        <v>539</v>
      </c>
      <c r="CW5" s="89" t="s">
        <v>540</v>
      </c>
      <c r="CX5" s="89" t="s">
        <v>541</v>
      </c>
      <c r="CY5" s="89" t="s">
        <v>542</v>
      </c>
      <c r="CZ5" s="89" t="s">
        <v>543</v>
      </c>
      <c r="DA5" s="89" t="s">
        <v>544</v>
      </c>
      <c r="DB5" s="89" t="s">
        <v>545</v>
      </c>
      <c r="DC5" s="89" t="s">
        <v>546</v>
      </c>
      <c r="DD5" s="89" t="s">
        <v>547</v>
      </c>
      <c r="DE5" s="89" t="s">
        <v>548</v>
      </c>
      <c r="DF5" s="89" t="s">
        <v>549</v>
      </c>
      <c r="DG5" s="89" t="s">
        <v>550</v>
      </c>
      <c r="DH5" s="89" t="s">
        <v>551</v>
      </c>
      <c r="DI5" s="89" t="s">
        <v>552</v>
      </c>
      <c r="DJ5" s="89" t="s">
        <v>553</v>
      </c>
      <c r="DK5" s="89" t="s">
        <v>554</v>
      </c>
      <c r="DL5" s="89" t="s">
        <v>555</v>
      </c>
      <c r="DM5" s="89" t="s">
        <v>556</v>
      </c>
      <c r="DN5" s="89" t="s">
        <v>557</v>
      </c>
      <c r="DO5" s="89" t="s">
        <v>558</v>
      </c>
      <c r="DP5" s="89" t="s">
        <v>559</v>
      </c>
      <c r="DQ5" s="89" t="s">
        <v>560</v>
      </c>
      <c r="DR5" s="89" t="s">
        <v>561</v>
      </c>
      <c r="DS5" s="89" t="s">
        <v>562</v>
      </c>
      <c r="DT5" s="89" t="s">
        <v>563</v>
      </c>
      <c r="DU5" s="89" t="s">
        <v>564</v>
      </c>
      <c r="DV5" s="89" t="s">
        <v>565</v>
      </c>
      <c r="DW5" s="89" t="s">
        <v>566</v>
      </c>
      <c r="DX5" s="89" t="s">
        <v>567</v>
      </c>
      <c r="DY5" s="89" t="s">
        <v>568</v>
      </c>
      <c r="DZ5" s="89" t="s">
        <v>569</v>
      </c>
      <c r="EA5" s="89" t="s">
        <v>570</v>
      </c>
      <c r="EB5" s="89" t="s">
        <v>571</v>
      </c>
      <c r="EC5" s="89" t="s">
        <v>572</v>
      </c>
      <c r="ED5" s="89" t="s">
        <v>573</v>
      </c>
      <c r="EE5" s="89" t="s">
        <v>574</v>
      </c>
      <c r="EF5" s="89" t="s">
        <v>575</v>
      </c>
      <c r="EG5" s="89" t="s">
        <v>576</v>
      </c>
      <c r="EH5" s="89" t="s">
        <v>577</v>
      </c>
      <c r="EI5" s="89" t="s">
        <v>578</v>
      </c>
      <c r="EJ5" s="89" t="s">
        <v>579</v>
      </c>
      <c r="EK5" s="89" t="s">
        <v>580</v>
      </c>
      <c r="EL5" s="89" t="s">
        <v>581</v>
      </c>
      <c r="EM5" s="89" t="s">
        <v>582</v>
      </c>
      <c r="EN5" s="89" t="s">
        <v>583</v>
      </c>
      <c r="EO5" s="89" t="s">
        <v>584</v>
      </c>
      <c r="EP5" s="89" t="s">
        <v>585</v>
      </c>
      <c r="EQ5" s="89" t="s">
        <v>586</v>
      </c>
    </row>
    <row r="6" spans="1:147" s="64" customFormat="1" x14ac:dyDescent="0.45">
      <c r="A6" s="63" t="s">
        <v>7</v>
      </c>
      <c r="B6" s="61" t="s">
        <v>421</v>
      </c>
      <c r="C6" s="60" t="s">
        <v>587</v>
      </c>
      <c r="D6" s="60" t="s">
        <v>588</v>
      </c>
      <c r="E6" s="60" t="s">
        <v>589</v>
      </c>
      <c r="F6" s="60" t="s">
        <v>590</v>
      </c>
      <c r="G6" s="61" t="s">
        <v>760</v>
      </c>
      <c r="H6" s="61" t="s">
        <v>591</v>
      </c>
      <c r="I6" s="61" t="s">
        <v>761</v>
      </c>
      <c r="J6" s="61" t="s">
        <v>617</v>
      </c>
      <c r="K6" s="61" t="s">
        <v>618</v>
      </c>
      <c r="L6" s="61" t="s">
        <v>619</v>
      </c>
      <c r="M6" s="61" t="s">
        <v>620</v>
      </c>
      <c r="N6" s="61" t="s">
        <v>621</v>
      </c>
      <c r="O6" s="61" t="s">
        <v>622</v>
      </c>
      <c r="P6" s="61" t="s">
        <v>623</v>
      </c>
      <c r="Q6" s="61" t="s">
        <v>624</v>
      </c>
      <c r="R6" s="61" t="s">
        <v>625</v>
      </c>
      <c r="S6" s="61" t="s">
        <v>626</v>
      </c>
      <c r="T6" s="61" t="s">
        <v>627</v>
      </c>
      <c r="U6" s="61" t="s">
        <v>628</v>
      </c>
      <c r="V6" s="61" t="s">
        <v>629</v>
      </c>
      <c r="W6" s="61" t="s">
        <v>630</v>
      </c>
      <c r="X6" s="61" t="s">
        <v>631</v>
      </c>
      <c r="Y6" s="61" t="s">
        <v>632</v>
      </c>
      <c r="Z6" s="61" t="s">
        <v>633</v>
      </c>
      <c r="AA6" s="61" t="s">
        <v>634</v>
      </c>
      <c r="AB6" s="61" t="s">
        <v>635</v>
      </c>
      <c r="AC6" s="61" t="s">
        <v>636</v>
      </c>
      <c r="AD6" s="60" t="s">
        <v>762</v>
      </c>
      <c r="AE6" s="60" t="s">
        <v>763</v>
      </c>
      <c r="AF6" s="60" t="s">
        <v>764</v>
      </c>
      <c r="AG6" s="60" t="s">
        <v>765</v>
      </c>
      <c r="AH6" s="60" t="s">
        <v>766</v>
      </c>
      <c r="AI6" s="60" t="s">
        <v>767</v>
      </c>
      <c r="AJ6" s="60" t="s">
        <v>768</v>
      </c>
      <c r="AK6" s="60" t="s">
        <v>769</v>
      </c>
      <c r="AL6" s="60" t="s">
        <v>770</v>
      </c>
      <c r="AM6" s="60" t="s">
        <v>771</v>
      </c>
      <c r="AN6" s="60" t="s">
        <v>772</v>
      </c>
      <c r="AO6" s="60" t="s">
        <v>773</v>
      </c>
      <c r="AP6" s="61" t="s">
        <v>774</v>
      </c>
      <c r="AQ6" s="61" t="s">
        <v>775</v>
      </c>
      <c r="AR6" s="61" t="s">
        <v>776</v>
      </c>
      <c r="AS6" s="61" t="s">
        <v>777</v>
      </c>
      <c r="AT6" s="61" t="s">
        <v>778</v>
      </c>
      <c r="AU6" s="61" t="s">
        <v>779</v>
      </c>
      <c r="AV6" s="61" t="s">
        <v>780</v>
      </c>
      <c r="AW6" s="61" t="s">
        <v>781</v>
      </c>
      <c r="AX6" s="61" t="s">
        <v>782</v>
      </c>
      <c r="AY6" s="61" t="s">
        <v>783</v>
      </c>
      <c r="AZ6" s="61" t="s">
        <v>784</v>
      </c>
      <c r="BA6" s="61" t="s">
        <v>785</v>
      </c>
      <c r="BB6" s="61" t="s">
        <v>786</v>
      </c>
      <c r="BC6" s="61" t="s">
        <v>787</v>
      </c>
      <c r="BD6" s="61" t="s">
        <v>788</v>
      </c>
      <c r="BE6" s="61" t="s">
        <v>789</v>
      </c>
      <c r="BF6" s="61" t="s">
        <v>790</v>
      </c>
      <c r="BG6" s="61" t="s">
        <v>791</v>
      </c>
      <c r="BH6" s="61" t="s">
        <v>792</v>
      </c>
      <c r="BI6" s="61" t="s">
        <v>793</v>
      </c>
      <c r="BJ6" s="61" t="s">
        <v>794</v>
      </c>
      <c r="BK6" s="61" t="s">
        <v>795</v>
      </c>
      <c r="BL6" s="61" t="s">
        <v>796</v>
      </c>
      <c r="BM6" s="61" t="s">
        <v>797</v>
      </c>
      <c r="BN6" s="61" t="s">
        <v>798</v>
      </c>
      <c r="BO6" s="61" t="s">
        <v>799</v>
      </c>
      <c r="BP6" s="61" t="s">
        <v>800</v>
      </c>
      <c r="BQ6" s="61" t="s">
        <v>801</v>
      </c>
      <c r="BR6" s="61" t="s">
        <v>802</v>
      </c>
      <c r="BS6" s="61" t="s">
        <v>803</v>
      </c>
      <c r="BT6" s="61" t="s">
        <v>804</v>
      </c>
      <c r="BU6" s="61" t="s">
        <v>805</v>
      </c>
      <c r="BV6" s="61" t="s">
        <v>806</v>
      </c>
      <c r="BW6" s="61" t="s">
        <v>807</v>
      </c>
      <c r="BX6" s="61" t="s">
        <v>808</v>
      </c>
      <c r="BY6" s="61" t="s">
        <v>809</v>
      </c>
      <c r="BZ6" s="61" t="s">
        <v>810</v>
      </c>
      <c r="CA6" s="61" t="s">
        <v>811</v>
      </c>
      <c r="CB6" s="61" t="s">
        <v>812</v>
      </c>
      <c r="CC6" s="61" t="s">
        <v>813</v>
      </c>
      <c r="CD6" s="61" t="s">
        <v>814</v>
      </c>
      <c r="CE6" s="61" t="s">
        <v>815</v>
      </c>
      <c r="CF6" s="61" t="s">
        <v>816</v>
      </c>
      <c r="CG6" s="61" t="s">
        <v>817</v>
      </c>
      <c r="CH6" s="61" t="s">
        <v>818</v>
      </c>
      <c r="CI6" s="61" t="s">
        <v>819</v>
      </c>
      <c r="CJ6" s="61" t="s">
        <v>820</v>
      </c>
      <c r="CK6" s="61" t="s">
        <v>821</v>
      </c>
      <c r="CL6" s="61" t="s">
        <v>822</v>
      </c>
      <c r="CM6" s="61" t="s">
        <v>823</v>
      </c>
      <c r="CN6" s="61" t="s">
        <v>824</v>
      </c>
      <c r="CO6" s="61" t="s">
        <v>825</v>
      </c>
      <c r="CP6" s="61" t="s">
        <v>826</v>
      </c>
      <c r="CQ6" s="60" t="s">
        <v>827</v>
      </c>
      <c r="CR6" s="60" t="s">
        <v>828</v>
      </c>
      <c r="CS6" s="60" t="s">
        <v>829</v>
      </c>
      <c r="CT6" s="60" t="s">
        <v>830</v>
      </c>
      <c r="CU6" s="60" t="s">
        <v>831</v>
      </c>
      <c r="CV6" s="60" t="s">
        <v>832</v>
      </c>
      <c r="CW6" s="60" t="s">
        <v>833</v>
      </c>
      <c r="CX6" s="60" t="s">
        <v>834</v>
      </c>
      <c r="CY6" s="60" t="s">
        <v>835</v>
      </c>
      <c r="CZ6" s="60" t="s">
        <v>836</v>
      </c>
      <c r="DA6" s="60" t="s">
        <v>837</v>
      </c>
      <c r="DB6" s="60" t="s">
        <v>838</v>
      </c>
      <c r="DC6" s="60" t="s">
        <v>839</v>
      </c>
      <c r="DD6" s="60" t="s">
        <v>840</v>
      </c>
      <c r="DE6" s="60" t="s">
        <v>841</v>
      </c>
      <c r="DF6" s="60" t="s">
        <v>842</v>
      </c>
      <c r="DG6" s="60" t="s">
        <v>843</v>
      </c>
      <c r="DH6" s="60" t="s">
        <v>844</v>
      </c>
      <c r="DI6" s="60" t="s">
        <v>845</v>
      </c>
      <c r="DJ6" s="60" t="s">
        <v>846</v>
      </c>
      <c r="DK6" s="60" t="s">
        <v>847</v>
      </c>
      <c r="DL6" s="60" t="s">
        <v>848</v>
      </c>
      <c r="DM6" s="60" t="s">
        <v>849</v>
      </c>
      <c r="DN6" s="60" t="s">
        <v>850</v>
      </c>
      <c r="DO6" s="60" t="s">
        <v>851</v>
      </c>
      <c r="DP6" s="60" t="s">
        <v>852</v>
      </c>
      <c r="DQ6" s="60" t="s">
        <v>853</v>
      </c>
      <c r="DR6" s="60" t="s">
        <v>854</v>
      </c>
      <c r="DS6" s="60" t="s">
        <v>855</v>
      </c>
      <c r="DT6" s="60" t="s">
        <v>856</v>
      </c>
      <c r="DU6" s="60" t="s">
        <v>857</v>
      </c>
      <c r="DV6" s="60" t="s">
        <v>858</v>
      </c>
      <c r="DW6" s="60" t="s">
        <v>859</v>
      </c>
      <c r="DX6" s="60" t="s">
        <v>860</v>
      </c>
      <c r="DY6" s="60" t="s">
        <v>861</v>
      </c>
      <c r="DZ6" s="60" t="s">
        <v>862</v>
      </c>
      <c r="EA6" s="60" t="s">
        <v>863</v>
      </c>
      <c r="EB6" s="60" t="s">
        <v>864</v>
      </c>
      <c r="EC6" s="60" t="s">
        <v>865</v>
      </c>
      <c r="ED6" s="60" t="s">
        <v>866</v>
      </c>
      <c r="EE6" s="60" t="s">
        <v>867</v>
      </c>
      <c r="EF6" s="60" t="s">
        <v>868</v>
      </c>
      <c r="EG6" s="60" t="s">
        <v>869</v>
      </c>
      <c r="EH6" s="60" t="s">
        <v>870</v>
      </c>
      <c r="EI6" s="60" t="s">
        <v>871</v>
      </c>
      <c r="EJ6" s="60" t="s">
        <v>872</v>
      </c>
      <c r="EK6" s="60" t="s">
        <v>873</v>
      </c>
      <c r="EL6" s="60" t="s">
        <v>874</v>
      </c>
      <c r="EM6" s="60" t="s">
        <v>875</v>
      </c>
      <c r="EN6" s="60" t="s">
        <v>876</v>
      </c>
      <c r="EO6" s="60" t="s">
        <v>877</v>
      </c>
      <c r="EP6" s="60" t="s">
        <v>878</v>
      </c>
      <c r="EQ6" s="60" t="s">
        <v>879</v>
      </c>
    </row>
    <row r="7" spans="1:147" x14ac:dyDescent="0.45">
      <c r="A7" t="s">
        <v>281</v>
      </c>
      <c r="B7" s="59" t="s">
        <v>291</v>
      </c>
      <c r="C7" s="37" t="s">
        <v>37</v>
      </c>
      <c r="D7" s="37" t="s">
        <v>880</v>
      </c>
      <c r="E7" s="104">
        <v>89598.86</v>
      </c>
      <c r="F7" s="104">
        <v>343477000</v>
      </c>
      <c r="G7" s="87">
        <v>79.130950582919425</v>
      </c>
      <c r="H7" s="1" t="s">
        <v>143</v>
      </c>
      <c r="I7" s="58">
        <v>1</v>
      </c>
      <c r="J7" s="87">
        <v>82.469169860556875</v>
      </c>
      <c r="K7" s="87">
        <v>76.156543678728895</v>
      </c>
      <c r="L7" s="87">
        <v>86.480215478605558</v>
      </c>
      <c r="M7" s="87">
        <v>71.417873313786387</v>
      </c>
      <c r="N7" s="58">
        <v>1</v>
      </c>
      <c r="O7" s="58">
        <v>1</v>
      </c>
      <c r="P7" s="58">
        <v>9</v>
      </c>
      <c r="Q7" s="58">
        <v>16</v>
      </c>
      <c r="R7" s="58">
        <v>87.233503221094949</v>
      </c>
      <c r="S7" s="58">
        <v>76.143477526319998</v>
      </c>
      <c r="T7" s="58">
        <v>84.030528834255676</v>
      </c>
      <c r="U7" s="58">
        <v>67.071532108472113</v>
      </c>
      <c r="V7" s="58">
        <v>84.060786263268952</v>
      </c>
      <c r="W7" s="58">
        <v>77.337312664445619</v>
      </c>
      <c r="X7" s="58">
        <v>94.729461775782042</v>
      </c>
      <c r="Y7" s="58">
        <v>80.60483009395891</v>
      </c>
      <c r="Z7" s="58">
        <v>84.106354566075765</v>
      </c>
      <c r="AA7" s="58">
        <v>73.507593641090452</v>
      </c>
      <c r="AB7" s="58">
        <v>63.247558611015343</v>
      </c>
      <c r="AC7" s="58">
        <v>77.498467689253332</v>
      </c>
      <c r="AD7" s="58">
        <v>2</v>
      </c>
      <c r="AE7" s="58">
        <v>1</v>
      </c>
      <c r="AF7" s="58">
        <v>1</v>
      </c>
      <c r="AG7" s="58">
        <v>14</v>
      </c>
      <c r="AH7" s="58">
        <v>1</v>
      </c>
      <c r="AI7" s="58">
        <v>2</v>
      </c>
      <c r="AJ7" s="58">
        <v>3</v>
      </c>
      <c r="AK7" s="58">
        <v>18</v>
      </c>
      <c r="AL7" s="58">
        <v>12</v>
      </c>
      <c r="AM7" s="58">
        <v>3</v>
      </c>
      <c r="AN7" s="58">
        <v>73</v>
      </c>
      <c r="AO7" s="58">
        <v>34</v>
      </c>
      <c r="AP7" s="58">
        <v>84.541445988152901</v>
      </c>
      <c r="AQ7" s="58">
        <v>95.961897794648337</v>
      </c>
      <c r="AR7" s="58">
        <v>58.483683288048823</v>
      </c>
      <c r="AS7" s="58">
        <v>94.73684210526315</v>
      </c>
      <c r="AT7" s="58">
        <v>89.677150150456384</v>
      </c>
      <c r="AU7" s="58">
        <v>100</v>
      </c>
      <c r="AV7" s="58">
        <v>61.663405875224299</v>
      </c>
      <c r="AW7" s="58">
        <v>68.932766469708099</v>
      </c>
      <c r="AX7" s="58">
        <v>73.97773776034758</v>
      </c>
      <c r="AY7" s="58">
        <v>100</v>
      </c>
      <c r="AZ7" s="58">
        <v>98.647925818819289</v>
      </c>
      <c r="BA7" s="58">
        <v>100</v>
      </c>
      <c r="BB7" s="58">
        <v>37.474189518203389</v>
      </c>
      <c r="BC7" s="58">
        <v>100</v>
      </c>
      <c r="BD7" s="58">
        <v>83.003239686034476</v>
      </c>
      <c r="BE7" s="58">
        <v>80.518086706485889</v>
      </c>
      <c r="BF7" s="58">
        <v>73.447061025965894</v>
      </c>
      <c r="BG7" s="58" t="s">
        <v>920</v>
      </c>
      <c r="BH7" s="58">
        <v>31.317741015402166</v>
      </c>
      <c r="BI7" s="58" t="s">
        <v>920</v>
      </c>
      <c r="BJ7" s="58">
        <v>58.063166999965631</v>
      </c>
      <c r="BK7" s="58">
        <v>94.119191789841253</v>
      </c>
      <c r="BL7" s="58">
        <v>100</v>
      </c>
      <c r="BM7" s="58">
        <v>89.603108721021158</v>
      </c>
      <c r="BN7" s="58">
        <v>65.464429673903922</v>
      </c>
      <c r="BO7" s="58">
        <v>100</v>
      </c>
      <c r="BP7" s="58">
        <v>54.281712262857404</v>
      </c>
      <c r="BQ7" s="58">
        <v>98.174680476959367</v>
      </c>
      <c r="BR7" s="58">
        <v>99.827534938859813</v>
      </c>
      <c r="BS7" s="58" t="s">
        <v>920</v>
      </c>
      <c r="BT7" s="58">
        <v>86.186169911526918</v>
      </c>
      <c r="BU7" s="58">
        <v>77.10601298477124</v>
      </c>
      <c r="BV7" s="58">
        <v>74.687499999841805</v>
      </c>
      <c r="BW7" s="58">
        <v>88.206995842709503</v>
      </c>
      <c r="BX7" s="58">
        <v>100</v>
      </c>
      <c r="BY7" s="58">
        <v>63.023641642472008</v>
      </c>
      <c r="BZ7" s="58">
        <v>94.202285230639021</v>
      </c>
      <c r="CA7" s="58">
        <v>88.495713159319905</v>
      </c>
      <c r="CB7" s="58">
        <v>69.621065308268399</v>
      </c>
      <c r="CC7" s="58" t="s">
        <v>920</v>
      </c>
      <c r="CD7" s="58">
        <v>100</v>
      </c>
      <c r="CE7" s="58">
        <v>97.720334263343503</v>
      </c>
      <c r="CF7" s="58">
        <v>81.235777387110744</v>
      </c>
      <c r="CG7" s="58">
        <v>15.07426291390761</v>
      </c>
      <c r="CH7" s="58">
        <v>77.390527256479018</v>
      </c>
      <c r="CI7" s="58">
        <v>52.083333333333336</v>
      </c>
      <c r="CJ7" s="58">
        <v>54.081632653061234</v>
      </c>
      <c r="CK7" s="58">
        <v>66.455997833406116</v>
      </c>
      <c r="CL7" s="58">
        <v>100</v>
      </c>
      <c r="CM7" s="58">
        <v>62.904905499272637</v>
      </c>
      <c r="CN7" s="58">
        <v>87.272727272727266</v>
      </c>
      <c r="CO7" s="58">
        <v>69.106566200215283</v>
      </c>
      <c r="CP7" s="58">
        <v>81.419343569596236</v>
      </c>
      <c r="CQ7" s="58">
        <v>28</v>
      </c>
      <c r="CR7" s="58">
        <v>17</v>
      </c>
      <c r="CS7" s="58">
        <v>13</v>
      </c>
      <c r="CT7" s="58">
        <v>63</v>
      </c>
      <c r="CU7" s="58">
        <v>6</v>
      </c>
      <c r="CV7" s="58">
        <v>1</v>
      </c>
      <c r="CW7" s="58">
        <v>16</v>
      </c>
      <c r="CX7" s="58">
        <v>8</v>
      </c>
      <c r="CY7" s="58">
        <v>19</v>
      </c>
      <c r="CZ7" s="58">
        <v>1</v>
      </c>
      <c r="DA7" s="58">
        <v>4</v>
      </c>
      <c r="DB7" s="58">
        <v>1</v>
      </c>
      <c r="DC7" s="58">
        <v>10</v>
      </c>
      <c r="DD7" s="58">
        <v>1</v>
      </c>
      <c r="DE7" s="58">
        <v>3</v>
      </c>
      <c r="DF7" s="58">
        <v>12</v>
      </c>
      <c r="DG7" s="58">
        <v>55</v>
      </c>
      <c r="DH7" s="58" t="s">
        <v>920</v>
      </c>
      <c r="DI7" s="58">
        <v>25</v>
      </c>
      <c r="DJ7" s="58" t="s">
        <v>920</v>
      </c>
      <c r="DK7" s="58">
        <v>8</v>
      </c>
      <c r="DL7" s="58">
        <v>2</v>
      </c>
      <c r="DM7" s="58">
        <v>1</v>
      </c>
      <c r="DN7" s="58">
        <v>17</v>
      </c>
      <c r="DO7" s="58">
        <v>16</v>
      </c>
      <c r="DP7" s="58">
        <v>1</v>
      </c>
      <c r="DQ7" s="58">
        <v>4</v>
      </c>
      <c r="DR7" s="58">
        <v>5</v>
      </c>
      <c r="DS7" s="58">
        <v>13</v>
      </c>
      <c r="DT7" s="58" t="s">
        <v>920</v>
      </c>
      <c r="DU7" s="58">
        <v>8</v>
      </c>
      <c r="DV7" s="58">
        <v>18</v>
      </c>
      <c r="DW7" s="58">
        <v>61</v>
      </c>
      <c r="DX7" s="58">
        <v>6</v>
      </c>
      <c r="DY7" s="58">
        <v>1</v>
      </c>
      <c r="DZ7" s="58">
        <v>63</v>
      </c>
      <c r="EA7" s="58">
        <v>11</v>
      </c>
      <c r="EB7" s="58">
        <v>33</v>
      </c>
      <c r="EC7" s="58">
        <v>19</v>
      </c>
      <c r="ED7" s="58" t="s">
        <v>920</v>
      </c>
      <c r="EE7" s="58">
        <v>1</v>
      </c>
      <c r="EF7" s="58">
        <v>2</v>
      </c>
      <c r="EG7" s="58">
        <v>7</v>
      </c>
      <c r="EH7" s="58">
        <v>59</v>
      </c>
      <c r="EI7" s="58">
        <v>24</v>
      </c>
      <c r="EJ7" s="58">
        <v>103</v>
      </c>
      <c r="EK7" s="58">
        <v>87</v>
      </c>
      <c r="EL7" s="58">
        <v>63</v>
      </c>
      <c r="EM7" s="58">
        <v>1</v>
      </c>
      <c r="EN7" s="58">
        <v>17</v>
      </c>
      <c r="EO7" s="58">
        <v>37</v>
      </c>
      <c r="EP7" s="58">
        <v>83</v>
      </c>
      <c r="EQ7" s="58">
        <v>31</v>
      </c>
    </row>
    <row r="8" spans="1:147" x14ac:dyDescent="0.45">
      <c r="A8" t="s">
        <v>13</v>
      </c>
      <c r="B8" s="59" t="s">
        <v>292</v>
      </c>
      <c r="C8" s="37" t="s">
        <v>10</v>
      </c>
      <c r="D8" s="37" t="s">
        <v>880</v>
      </c>
      <c r="E8" s="104">
        <v>66512.47</v>
      </c>
      <c r="F8" s="104">
        <v>5601000</v>
      </c>
      <c r="G8" s="87">
        <v>75.823837313101762</v>
      </c>
      <c r="H8" s="1" t="s">
        <v>144</v>
      </c>
      <c r="I8" s="58">
        <v>2</v>
      </c>
      <c r="J8" s="87">
        <v>66.281467972712548</v>
      </c>
      <c r="K8" s="87">
        <v>62.938287105726893</v>
      </c>
      <c r="L8" s="87">
        <v>88.905535663749546</v>
      </c>
      <c r="M8" s="87">
        <v>85.170058510218041</v>
      </c>
      <c r="N8" s="58">
        <v>9</v>
      </c>
      <c r="O8" s="58">
        <v>10</v>
      </c>
      <c r="P8" s="58">
        <v>4</v>
      </c>
      <c r="Q8" s="58">
        <v>1</v>
      </c>
      <c r="R8" s="58">
        <v>79.372358251730276</v>
      </c>
      <c r="S8" s="58">
        <v>56.23663739711364</v>
      </c>
      <c r="T8" s="58">
        <v>63.2354082692937</v>
      </c>
      <c r="U8" s="58">
        <v>66.167771564175155</v>
      </c>
      <c r="V8" s="58">
        <v>55.461728976421995</v>
      </c>
      <c r="W8" s="58">
        <v>67.185360776583536</v>
      </c>
      <c r="X8" s="58">
        <v>92.813656071096162</v>
      </c>
      <c r="Y8" s="58">
        <v>91.168480111050698</v>
      </c>
      <c r="Z8" s="58">
        <v>82.734470809101779</v>
      </c>
      <c r="AA8" s="58">
        <v>79.005204619630774</v>
      </c>
      <c r="AB8" s="58">
        <v>95.20533435761763</v>
      </c>
      <c r="AC8" s="58">
        <v>81.299636553405719</v>
      </c>
      <c r="AD8" s="58">
        <v>22</v>
      </c>
      <c r="AE8" s="58">
        <v>10</v>
      </c>
      <c r="AF8" s="58">
        <v>10</v>
      </c>
      <c r="AG8" s="58">
        <v>17</v>
      </c>
      <c r="AH8" s="58">
        <v>18</v>
      </c>
      <c r="AI8" s="58">
        <v>10</v>
      </c>
      <c r="AJ8" s="58">
        <v>6</v>
      </c>
      <c r="AK8" s="58">
        <v>3</v>
      </c>
      <c r="AL8" s="58">
        <v>17</v>
      </c>
      <c r="AM8" s="58">
        <v>2</v>
      </c>
      <c r="AN8" s="58">
        <v>1</v>
      </c>
      <c r="AO8" s="58">
        <v>25</v>
      </c>
      <c r="AP8" s="58">
        <v>78.898927564373807</v>
      </c>
      <c r="AQ8" s="58">
        <v>100</v>
      </c>
      <c r="AR8" s="58">
        <v>30.33354198294403</v>
      </c>
      <c r="AS8" s="58">
        <v>99.947368421052602</v>
      </c>
      <c r="AT8" s="58">
        <v>67.054311542011192</v>
      </c>
      <c r="AU8" s="58">
        <v>100</v>
      </c>
      <c r="AV8" s="58">
        <v>98.817152398261129</v>
      </c>
      <c r="AW8" s="58">
        <v>39.684845983920056</v>
      </c>
      <c r="AX8" s="58">
        <v>79.282405693608055</v>
      </c>
      <c r="AY8" s="58">
        <v>7.1621455126653393</v>
      </c>
      <c r="AZ8" s="58">
        <v>96.072497127101201</v>
      </c>
      <c r="BA8" s="58">
        <v>87.75</v>
      </c>
      <c r="BB8" s="58">
        <v>22.318795421467275</v>
      </c>
      <c r="BC8" s="58">
        <v>46.800340528606327</v>
      </c>
      <c r="BD8" s="58">
        <v>29.72752762392582</v>
      </c>
      <c r="BE8" s="58">
        <v>100</v>
      </c>
      <c r="BF8" s="58">
        <v>83.431864394326453</v>
      </c>
      <c r="BG8" s="58" t="s">
        <v>920</v>
      </c>
      <c r="BH8" s="58">
        <v>51.511694238448371</v>
      </c>
      <c r="BI8" s="58">
        <v>100</v>
      </c>
      <c r="BJ8" s="58">
        <v>42.611543638660407</v>
      </c>
      <c r="BK8" s="58">
        <v>46.290605627400652</v>
      </c>
      <c r="BL8" s="58">
        <v>32.944766639626913</v>
      </c>
      <c r="BM8" s="58">
        <v>89.139928537914614</v>
      </c>
      <c r="BN8" s="58">
        <v>71.304038398261156</v>
      </c>
      <c r="BO8" s="58">
        <v>59.588555865131632</v>
      </c>
      <c r="BP8" s="58">
        <v>48.708920305026744</v>
      </c>
      <c r="BQ8" s="58">
        <v>97.348225657296467</v>
      </c>
      <c r="BR8" s="58">
        <v>100</v>
      </c>
      <c r="BS8" s="58" t="s">
        <v>920</v>
      </c>
      <c r="BT8" s="58">
        <v>81.092742555992032</v>
      </c>
      <c r="BU8" s="58">
        <v>86.400570954299099</v>
      </c>
      <c r="BV8" s="58">
        <v>98.124999999988276</v>
      </c>
      <c r="BW8" s="58">
        <v>94.564444698436034</v>
      </c>
      <c r="BX8" s="58">
        <v>100</v>
      </c>
      <c r="BY8" s="58">
        <v>76.752384902530068</v>
      </c>
      <c r="BZ8" s="58">
        <v>88.404570461278027</v>
      </c>
      <c r="CA8" s="58">
        <v>95.394514698490156</v>
      </c>
      <c r="CB8" s="58">
        <v>64.404327267537155</v>
      </c>
      <c r="CC8" s="58" t="s">
        <v>920</v>
      </c>
      <c r="CD8" s="58">
        <v>100</v>
      </c>
      <c r="CE8" s="58">
        <v>55.856156035145808</v>
      </c>
      <c r="CF8" s="58">
        <v>94.292964521189134</v>
      </c>
      <c r="CG8" s="58">
        <v>65.871697922188147</v>
      </c>
      <c r="CH8" s="58">
        <v>100</v>
      </c>
      <c r="CI8" s="58">
        <v>96.614583333333329</v>
      </c>
      <c r="CJ8" s="58">
        <v>90.816326530612258</v>
      </c>
      <c r="CK8" s="58">
        <v>87.186512948426881</v>
      </c>
      <c r="CL8" s="58">
        <v>100</v>
      </c>
      <c r="CM8" s="58">
        <v>65.261073608483954</v>
      </c>
      <c r="CN8" s="58">
        <v>96.36363636363636</v>
      </c>
      <c r="CO8" s="58">
        <v>65.33907427341228</v>
      </c>
      <c r="CP8" s="58">
        <v>96.46952393618065</v>
      </c>
      <c r="CQ8" s="58">
        <v>39</v>
      </c>
      <c r="CR8" s="58">
        <v>1</v>
      </c>
      <c r="CS8" s="58">
        <v>68</v>
      </c>
      <c r="CT8" s="58">
        <v>25</v>
      </c>
      <c r="CU8" s="58">
        <v>89</v>
      </c>
      <c r="CV8" s="58">
        <v>1</v>
      </c>
      <c r="CW8" s="58">
        <v>3</v>
      </c>
      <c r="CX8" s="58">
        <v>21</v>
      </c>
      <c r="CY8" s="58">
        <v>9</v>
      </c>
      <c r="CZ8" s="58">
        <v>54</v>
      </c>
      <c r="DA8" s="58">
        <v>7</v>
      </c>
      <c r="DB8" s="58">
        <v>5</v>
      </c>
      <c r="DC8" s="58">
        <v>20</v>
      </c>
      <c r="DD8" s="58">
        <v>14</v>
      </c>
      <c r="DE8" s="58">
        <v>38</v>
      </c>
      <c r="DF8" s="58">
        <v>1</v>
      </c>
      <c r="DG8" s="58">
        <v>15</v>
      </c>
      <c r="DH8" s="58" t="s">
        <v>920</v>
      </c>
      <c r="DI8" s="58">
        <v>6</v>
      </c>
      <c r="DJ8" s="58">
        <v>1</v>
      </c>
      <c r="DK8" s="58">
        <v>13</v>
      </c>
      <c r="DL8" s="58">
        <v>47</v>
      </c>
      <c r="DM8" s="58">
        <v>22</v>
      </c>
      <c r="DN8" s="58">
        <v>19</v>
      </c>
      <c r="DO8" s="58">
        <v>7</v>
      </c>
      <c r="DP8" s="58">
        <v>29</v>
      </c>
      <c r="DQ8" s="58">
        <v>10</v>
      </c>
      <c r="DR8" s="58">
        <v>6</v>
      </c>
      <c r="DS8" s="58">
        <v>1</v>
      </c>
      <c r="DT8" s="58" t="s">
        <v>920</v>
      </c>
      <c r="DU8" s="58">
        <v>13</v>
      </c>
      <c r="DV8" s="58">
        <v>7</v>
      </c>
      <c r="DW8" s="58">
        <v>3</v>
      </c>
      <c r="DX8" s="58">
        <v>2</v>
      </c>
      <c r="DY8" s="58">
        <v>1</v>
      </c>
      <c r="DZ8" s="58">
        <v>35</v>
      </c>
      <c r="EA8" s="58">
        <v>19</v>
      </c>
      <c r="EB8" s="58">
        <v>20</v>
      </c>
      <c r="EC8" s="58">
        <v>58</v>
      </c>
      <c r="ED8" s="58" t="s">
        <v>920</v>
      </c>
      <c r="EE8" s="58">
        <v>1</v>
      </c>
      <c r="EF8" s="58">
        <v>59</v>
      </c>
      <c r="EG8" s="58">
        <v>3</v>
      </c>
      <c r="EH8" s="58">
        <v>7</v>
      </c>
      <c r="EI8" s="58">
        <v>1</v>
      </c>
      <c r="EJ8" s="58">
        <v>4</v>
      </c>
      <c r="EK8" s="58">
        <v>14</v>
      </c>
      <c r="EL8" s="58">
        <v>20</v>
      </c>
      <c r="EM8" s="58">
        <v>1</v>
      </c>
      <c r="EN8" s="58">
        <v>11</v>
      </c>
      <c r="EO8" s="58">
        <v>15</v>
      </c>
      <c r="EP8" s="58">
        <v>90</v>
      </c>
      <c r="EQ8" s="58">
        <v>5</v>
      </c>
    </row>
    <row r="9" spans="1:147" x14ac:dyDescent="0.45">
      <c r="A9" t="s">
        <v>15</v>
      </c>
      <c r="B9" s="59" t="s">
        <v>286</v>
      </c>
      <c r="C9" s="37" t="s">
        <v>31</v>
      </c>
      <c r="D9" s="37" t="s">
        <v>880</v>
      </c>
      <c r="E9" s="104">
        <v>156969.073</v>
      </c>
      <c r="F9" s="104">
        <v>5789000</v>
      </c>
      <c r="G9" s="87">
        <v>75.462404629325135</v>
      </c>
      <c r="H9" s="1" t="s">
        <v>146</v>
      </c>
      <c r="I9" s="58">
        <v>3</v>
      </c>
      <c r="J9" s="87">
        <v>70.422541563731727</v>
      </c>
      <c r="K9" s="87">
        <v>68.104724188555437</v>
      </c>
      <c r="L9" s="87">
        <v>84.408290638206992</v>
      </c>
      <c r="M9" s="87">
        <v>78.914062126806343</v>
      </c>
      <c r="N9" s="58">
        <v>4</v>
      </c>
      <c r="O9" s="58">
        <v>4</v>
      </c>
      <c r="P9" s="58">
        <v>15</v>
      </c>
      <c r="Q9" s="58">
        <v>7</v>
      </c>
      <c r="R9" s="58">
        <v>85.695612589309704</v>
      </c>
      <c r="S9" s="58">
        <v>52.548694036324271</v>
      </c>
      <c r="T9" s="58">
        <v>73.023318065561185</v>
      </c>
      <c r="U9" s="58">
        <v>74.433801928776035</v>
      </c>
      <c r="V9" s="58">
        <v>56.800784960033177</v>
      </c>
      <c r="W9" s="58">
        <v>73.079585676857064</v>
      </c>
      <c r="X9" s="58">
        <v>88.566838314065009</v>
      </c>
      <c r="Y9" s="58">
        <v>80.274910823984726</v>
      </c>
      <c r="Z9" s="58">
        <v>84.383122776571227</v>
      </c>
      <c r="AA9" s="58">
        <v>68.197573507532127</v>
      </c>
      <c r="AB9" s="58">
        <v>81.410299374441479</v>
      </c>
      <c r="AC9" s="58">
        <v>87.134313498445408</v>
      </c>
      <c r="AD9" s="58">
        <v>4</v>
      </c>
      <c r="AE9" s="58">
        <v>14</v>
      </c>
      <c r="AF9" s="58">
        <v>2</v>
      </c>
      <c r="AG9" s="58">
        <v>3</v>
      </c>
      <c r="AH9" s="58">
        <v>14</v>
      </c>
      <c r="AI9" s="58">
        <v>4</v>
      </c>
      <c r="AJ9" s="58">
        <v>12</v>
      </c>
      <c r="AK9" s="58">
        <v>19</v>
      </c>
      <c r="AL9" s="58">
        <v>9</v>
      </c>
      <c r="AM9" s="58">
        <v>6</v>
      </c>
      <c r="AN9" s="58">
        <v>17</v>
      </c>
      <c r="AO9" s="58">
        <v>4</v>
      </c>
      <c r="AP9" s="58">
        <v>96.737740264220307</v>
      </c>
      <c r="AQ9" s="58">
        <v>100</v>
      </c>
      <c r="AR9" s="58">
        <v>24.482816394206552</v>
      </c>
      <c r="AS9" s="58">
        <v>100</v>
      </c>
      <c r="AT9" s="58">
        <v>92.953118877431393</v>
      </c>
      <c r="AU9" s="58">
        <v>100</v>
      </c>
      <c r="AV9" s="58">
        <v>100</v>
      </c>
      <c r="AW9" s="58">
        <v>20.259800665062802</v>
      </c>
      <c r="AX9" s="58">
        <v>84.518629481277657</v>
      </c>
      <c r="AY9" s="58">
        <v>5.4163459989566372</v>
      </c>
      <c r="AZ9" s="58">
        <v>97.378328852876507</v>
      </c>
      <c r="BA9" s="58">
        <v>78.499999999999986</v>
      </c>
      <c r="BB9" s="58">
        <v>100</v>
      </c>
      <c r="BC9" s="58">
        <v>16.214943409368228</v>
      </c>
      <c r="BD9" s="58">
        <v>12.66318447036198</v>
      </c>
      <c r="BE9" s="58">
        <v>90.376798201475054</v>
      </c>
      <c r="BF9" s="58">
        <v>91.658317419188691</v>
      </c>
      <c r="BG9" s="58">
        <v>96.92307692307692</v>
      </c>
      <c r="BH9" s="58">
        <v>80.54763262977751</v>
      </c>
      <c r="BI9" s="58">
        <v>61.38344647590813</v>
      </c>
      <c r="BJ9" s="58">
        <v>83.572406810270863</v>
      </c>
      <c r="BK9" s="58">
        <v>45.180098295153506</v>
      </c>
      <c r="BL9" s="58">
        <v>37.067188258800229</v>
      </c>
      <c r="BM9" s="58">
        <v>97.962007194331164</v>
      </c>
      <c r="BN9" s="58" t="s">
        <v>920</v>
      </c>
      <c r="BO9" s="58">
        <v>92.241239038628592</v>
      </c>
      <c r="BP9" s="58">
        <v>29.03551079761143</v>
      </c>
      <c r="BQ9" s="58">
        <v>98.694831793525211</v>
      </c>
      <c r="BR9" s="58">
        <v>99.827534938859813</v>
      </c>
      <c r="BS9" s="58" t="s">
        <v>920</v>
      </c>
      <c r="BT9" s="58">
        <v>67.17814820980999</v>
      </c>
      <c r="BU9" s="58">
        <v>100</v>
      </c>
      <c r="BV9" s="58">
        <v>87.81249999992383</v>
      </c>
      <c r="BW9" s="58">
        <v>93.767363120414586</v>
      </c>
      <c r="BX9" s="58">
        <v>75</v>
      </c>
      <c r="BY9" s="58">
        <v>44.794690999585235</v>
      </c>
      <c r="BZ9" s="58">
        <v>95.651713922979269</v>
      </c>
      <c r="CA9" s="58">
        <v>91.834174275622132</v>
      </c>
      <c r="CB9" s="58">
        <v>65.663480131112308</v>
      </c>
      <c r="CC9" s="58" t="s">
        <v>920</v>
      </c>
      <c r="CD9" s="58">
        <v>98.306304529956449</v>
      </c>
      <c r="CE9" s="58">
        <v>64.392815669605341</v>
      </c>
      <c r="CF9" s="58">
        <v>85.963444925939839</v>
      </c>
      <c r="CG9" s="58">
        <v>24.127728904626903</v>
      </c>
      <c r="CH9" s="58">
        <v>73.838248436103683</v>
      </c>
      <c r="CI9" s="58">
        <v>79.6875</v>
      </c>
      <c r="CJ9" s="58" t="s">
        <v>920</v>
      </c>
      <c r="CK9" s="58">
        <v>100</v>
      </c>
      <c r="CL9" s="58">
        <v>100</v>
      </c>
      <c r="CM9" s="58">
        <v>91.937507855217831</v>
      </c>
      <c r="CN9" s="58">
        <v>74.545454545454547</v>
      </c>
      <c r="CO9" s="58">
        <v>86.867599569429487</v>
      </c>
      <c r="CP9" s="58">
        <v>90.37338404735948</v>
      </c>
      <c r="CQ9" s="58">
        <v>4</v>
      </c>
      <c r="CR9" s="58">
        <v>1</v>
      </c>
      <c r="CS9" s="58">
        <v>84</v>
      </c>
      <c r="CT9" s="58">
        <v>1</v>
      </c>
      <c r="CU9" s="58">
        <v>4</v>
      </c>
      <c r="CV9" s="58">
        <v>1</v>
      </c>
      <c r="CW9" s="58">
        <v>1</v>
      </c>
      <c r="CX9" s="58">
        <v>34</v>
      </c>
      <c r="CY9" s="58">
        <v>3</v>
      </c>
      <c r="CZ9" s="58">
        <v>65</v>
      </c>
      <c r="DA9" s="58">
        <v>5</v>
      </c>
      <c r="DB9" s="58">
        <v>13</v>
      </c>
      <c r="DC9" s="58">
        <v>1</v>
      </c>
      <c r="DD9" s="58">
        <v>69</v>
      </c>
      <c r="DE9" s="58">
        <v>71</v>
      </c>
      <c r="DF9" s="58">
        <v>2</v>
      </c>
      <c r="DG9" s="58">
        <v>4</v>
      </c>
      <c r="DH9" s="58">
        <v>28</v>
      </c>
      <c r="DI9" s="58">
        <v>2</v>
      </c>
      <c r="DJ9" s="58">
        <v>51</v>
      </c>
      <c r="DK9" s="58">
        <v>5</v>
      </c>
      <c r="DL9" s="58">
        <v>50</v>
      </c>
      <c r="DM9" s="58">
        <v>18</v>
      </c>
      <c r="DN9" s="58">
        <v>6</v>
      </c>
      <c r="DO9" s="58" t="s">
        <v>920</v>
      </c>
      <c r="DP9" s="58">
        <v>3</v>
      </c>
      <c r="DQ9" s="58">
        <v>19</v>
      </c>
      <c r="DR9" s="58">
        <v>3</v>
      </c>
      <c r="DS9" s="58">
        <v>13</v>
      </c>
      <c r="DT9" s="58" t="s">
        <v>920</v>
      </c>
      <c r="DU9" s="58">
        <v>23</v>
      </c>
      <c r="DV9" s="58">
        <v>1</v>
      </c>
      <c r="DW9" s="58">
        <v>25</v>
      </c>
      <c r="DX9" s="58">
        <v>3</v>
      </c>
      <c r="DY9" s="58">
        <v>72</v>
      </c>
      <c r="DZ9" s="58">
        <v>95</v>
      </c>
      <c r="EA9" s="58">
        <v>7</v>
      </c>
      <c r="EB9" s="58">
        <v>26</v>
      </c>
      <c r="EC9" s="58">
        <v>52</v>
      </c>
      <c r="ED9" s="58" t="s">
        <v>920</v>
      </c>
      <c r="EE9" s="58">
        <v>6</v>
      </c>
      <c r="EF9" s="58">
        <v>34</v>
      </c>
      <c r="EG9" s="58">
        <v>4</v>
      </c>
      <c r="EH9" s="58">
        <v>41</v>
      </c>
      <c r="EI9" s="58">
        <v>31</v>
      </c>
      <c r="EJ9" s="58">
        <v>49</v>
      </c>
      <c r="EK9" s="58" t="s">
        <v>920</v>
      </c>
      <c r="EL9" s="58">
        <v>1</v>
      </c>
      <c r="EM9" s="58">
        <v>1</v>
      </c>
      <c r="EN9" s="58">
        <v>2</v>
      </c>
      <c r="EO9" s="58">
        <v>72</v>
      </c>
      <c r="EP9" s="58">
        <v>22</v>
      </c>
      <c r="EQ9" s="58">
        <v>18</v>
      </c>
    </row>
    <row r="10" spans="1:147" x14ac:dyDescent="0.45">
      <c r="A10" t="s">
        <v>12</v>
      </c>
      <c r="B10" s="59" t="s">
        <v>290</v>
      </c>
      <c r="C10" s="37" t="s">
        <v>10</v>
      </c>
      <c r="D10" s="37" t="s">
        <v>880</v>
      </c>
      <c r="E10" s="104">
        <v>84762.884000000005</v>
      </c>
      <c r="F10" s="104">
        <v>5948000</v>
      </c>
      <c r="G10" s="87">
        <v>75.135904392563475</v>
      </c>
      <c r="H10" s="1" t="s">
        <v>142</v>
      </c>
      <c r="I10" s="58">
        <v>4</v>
      </c>
      <c r="J10" s="87">
        <v>67.473821058839349</v>
      </c>
      <c r="K10" s="87">
        <v>58.748614484206513</v>
      </c>
      <c r="L10" s="87">
        <v>92.023058834484388</v>
      </c>
      <c r="M10" s="87">
        <v>82.298123192723651</v>
      </c>
      <c r="N10" s="58">
        <v>8</v>
      </c>
      <c r="O10" s="58">
        <v>17</v>
      </c>
      <c r="P10" s="58">
        <v>1</v>
      </c>
      <c r="Q10" s="58">
        <v>3</v>
      </c>
      <c r="R10" s="58">
        <v>80.432015622988843</v>
      </c>
      <c r="S10" s="58">
        <v>57.897621414570722</v>
      </c>
      <c r="T10" s="58">
        <v>64.091826138958496</v>
      </c>
      <c r="U10" s="58">
        <v>53.686631473772046</v>
      </c>
      <c r="V10" s="58">
        <v>58.585059477194726</v>
      </c>
      <c r="W10" s="58">
        <v>63.97415250165276</v>
      </c>
      <c r="X10" s="58">
        <v>99.977834984859712</v>
      </c>
      <c r="Y10" s="58">
        <v>87.4562111384394</v>
      </c>
      <c r="Z10" s="58">
        <v>88.63513038015401</v>
      </c>
      <c r="AA10" s="58">
        <v>67.597527262768352</v>
      </c>
      <c r="AB10" s="58">
        <v>91.269017000272797</v>
      </c>
      <c r="AC10" s="58">
        <v>88.027825315129803</v>
      </c>
      <c r="AD10" s="58">
        <v>16</v>
      </c>
      <c r="AE10" s="58">
        <v>8</v>
      </c>
      <c r="AF10" s="58">
        <v>9</v>
      </c>
      <c r="AG10" s="58">
        <v>54</v>
      </c>
      <c r="AH10" s="58">
        <v>11</v>
      </c>
      <c r="AI10" s="58">
        <v>18</v>
      </c>
      <c r="AJ10" s="58">
        <v>1</v>
      </c>
      <c r="AK10" s="58">
        <v>8</v>
      </c>
      <c r="AL10" s="58">
        <v>2</v>
      </c>
      <c r="AM10" s="58">
        <v>7</v>
      </c>
      <c r="AN10" s="58">
        <v>4</v>
      </c>
      <c r="AO10" s="58">
        <v>2</v>
      </c>
      <c r="AP10" s="58">
        <v>92.422848247594402</v>
      </c>
      <c r="AQ10" s="58">
        <v>93.036020684088911</v>
      </c>
      <c r="AR10" s="58">
        <v>29.120566652483376</v>
      </c>
      <c r="AS10" s="58">
        <v>100</v>
      </c>
      <c r="AT10" s="58">
        <v>68.012658153766353</v>
      </c>
      <c r="AU10" s="58">
        <v>100</v>
      </c>
      <c r="AV10" s="58">
        <v>74.284613877554449</v>
      </c>
      <c r="AW10" s="58">
        <v>79.588897145482193</v>
      </c>
      <c r="AX10" s="58">
        <v>73.517309402202031</v>
      </c>
      <c r="AY10" s="58">
        <v>4.1996652330441995</v>
      </c>
      <c r="AZ10" s="58">
        <v>90.636247873364681</v>
      </c>
      <c r="BA10" s="58">
        <v>76.75</v>
      </c>
      <c r="BB10" s="58">
        <v>40.164263894498021</v>
      </c>
      <c r="BC10" s="58">
        <v>48.816792787971274</v>
      </c>
      <c r="BD10" s="58">
        <v>20.896895697701733</v>
      </c>
      <c r="BE10" s="58">
        <v>78.932749072385462</v>
      </c>
      <c r="BF10" s="58">
        <v>83.256869715987861</v>
      </c>
      <c r="BG10" s="58" t="s">
        <v>920</v>
      </c>
      <c r="BH10" s="58">
        <v>31.660011409013123</v>
      </c>
      <c r="BI10" s="58">
        <v>92.248862132779209</v>
      </c>
      <c r="BJ10" s="58">
        <v>54.912272336716505</v>
      </c>
      <c r="BK10" s="58">
        <v>51.505422159612699</v>
      </c>
      <c r="BL10" s="58">
        <v>35.673681279670497</v>
      </c>
      <c r="BM10" s="58">
        <v>99.908567028789349</v>
      </c>
      <c r="BN10" s="58">
        <v>69.284186234884075</v>
      </c>
      <c r="BO10" s="58">
        <v>39.698501267926829</v>
      </c>
      <c r="BP10" s="58">
        <v>47.005355475010823</v>
      </c>
      <c r="BQ10" s="58">
        <v>100</v>
      </c>
      <c r="BR10" s="58">
        <v>100</v>
      </c>
      <c r="BS10" s="58" t="s">
        <v>920</v>
      </c>
      <c r="BT10" s="58">
        <v>99.933504954579149</v>
      </c>
      <c r="BU10" s="58">
        <v>88.261664436550618</v>
      </c>
      <c r="BV10" s="58">
        <v>94.374999999964842</v>
      </c>
      <c r="BW10" s="58">
        <v>77.746838373060285</v>
      </c>
      <c r="BX10" s="58">
        <v>100</v>
      </c>
      <c r="BY10" s="58">
        <v>76.897552882621326</v>
      </c>
      <c r="BZ10" s="58">
        <v>98.550571307659752</v>
      </c>
      <c r="CA10" s="58">
        <v>99.078963612882475</v>
      </c>
      <c r="CB10" s="58">
        <v>68.275856219919802</v>
      </c>
      <c r="CC10" s="58" t="s">
        <v>920</v>
      </c>
      <c r="CD10" s="58">
        <v>86.253361118894617</v>
      </c>
      <c r="CE10" s="58">
        <v>58.916077293030291</v>
      </c>
      <c r="CF10" s="58">
        <v>100</v>
      </c>
      <c r="CG10" s="58">
        <v>25.220670639148519</v>
      </c>
      <c r="CH10" s="58">
        <v>95.196604110813226</v>
      </c>
      <c r="CI10" s="58">
        <v>92.578124999999986</v>
      </c>
      <c r="CJ10" s="58">
        <v>84.438775510204096</v>
      </c>
      <c r="CK10" s="58">
        <v>87.625868269806205</v>
      </c>
      <c r="CL10" s="58">
        <v>100</v>
      </c>
      <c r="CM10" s="58">
        <v>63.408658770337667</v>
      </c>
      <c r="CN10" s="58">
        <v>100</v>
      </c>
      <c r="CO10" s="58">
        <v>92.787944025834236</v>
      </c>
      <c r="CP10" s="58">
        <v>91.829396928694734</v>
      </c>
      <c r="CQ10" s="58">
        <v>9</v>
      </c>
      <c r="CR10" s="58">
        <v>23</v>
      </c>
      <c r="CS10" s="58">
        <v>73</v>
      </c>
      <c r="CT10" s="58">
        <v>1</v>
      </c>
      <c r="CU10" s="58">
        <v>84</v>
      </c>
      <c r="CV10" s="58">
        <v>1</v>
      </c>
      <c r="CW10" s="58">
        <v>9</v>
      </c>
      <c r="CX10" s="58">
        <v>6</v>
      </c>
      <c r="CY10" s="58">
        <v>21</v>
      </c>
      <c r="CZ10" s="58">
        <v>69</v>
      </c>
      <c r="DA10" s="58">
        <v>11</v>
      </c>
      <c r="DB10" s="58">
        <v>14</v>
      </c>
      <c r="DC10" s="58">
        <v>8</v>
      </c>
      <c r="DD10" s="58">
        <v>8</v>
      </c>
      <c r="DE10" s="58">
        <v>48</v>
      </c>
      <c r="DF10" s="58">
        <v>15</v>
      </c>
      <c r="DG10" s="58">
        <v>17</v>
      </c>
      <c r="DH10" s="58" t="s">
        <v>920</v>
      </c>
      <c r="DI10" s="58">
        <v>23</v>
      </c>
      <c r="DJ10" s="58">
        <v>11</v>
      </c>
      <c r="DK10" s="58">
        <v>9</v>
      </c>
      <c r="DL10" s="58">
        <v>28</v>
      </c>
      <c r="DM10" s="58">
        <v>20</v>
      </c>
      <c r="DN10" s="58">
        <v>2</v>
      </c>
      <c r="DO10" s="58">
        <v>12</v>
      </c>
      <c r="DP10" s="58">
        <v>55</v>
      </c>
      <c r="DQ10" s="58">
        <v>11</v>
      </c>
      <c r="DR10" s="58">
        <v>1</v>
      </c>
      <c r="DS10" s="58">
        <v>1</v>
      </c>
      <c r="DT10" s="58" t="s">
        <v>920</v>
      </c>
      <c r="DU10" s="58">
        <v>2</v>
      </c>
      <c r="DV10" s="58">
        <v>5</v>
      </c>
      <c r="DW10" s="58">
        <v>5</v>
      </c>
      <c r="DX10" s="58">
        <v>17</v>
      </c>
      <c r="DY10" s="58">
        <v>1</v>
      </c>
      <c r="DZ10" s="58">
        <v>34</v>
      </c>
      <c r="EA10" s="58">
        <v>2</v>
      </c>
      <c r="EB10" s="58">
        <v>6</v>
      </c>
      <c r="EC10" s="58">
        <v>29</v>
      </c>
      <c r="ED10" s="58" t="s">
        <v>920</v>
      </c>
      <c r="EE10" s="58">
        <v>10</v>
      </c>
      <c r="EF10" s="58">
        <v>51</v>
      </c>
      <c r="EG10" s="58">
        <v>1</v>
      </c>
      <c r="EH10" s="58">
        <v>39</v>
      </c>
      <c r="EI10" s="58">
        <v>2</v>
      </c>
      <c r="EJ10" s="58">
        <v>11</v>
      </c>
      <c r="EK10" s="58">
        <v>23</v>
      </c>
      <c r="EL10" s="58">
        <v>16</v>
      </c>
      <c r="EM10" s="58">
        <v>1</v>
      </c>
      <c r="EN10" s="58">
        <v>16</v>
      </c>
      <c r="EO10" s="58">
        <v>1</v>
      </c>
      <c r="EP10" s="58">
        <v>8</v>
      </c>
      <c r="EQ10" s="58">
        <v>15</v>
      </c>
    </row>
    <row r="11" spans="1:147" x14ac:dyDescent="0.45">
      <c r="A11" t="s">
        <v>11</v>
      </c>
      <c r="B11" s="59" t="s">
        <v>287</v>
      </c>
      <c r="C11" s="37" t="s">
        <v>10</v>
      </c>
      <c r="D11" s="37" t="s">
        <v>880</v>
      </c>
      <c r="E11" s="104">
        <v>73069.509999999995</v>
      </c>
      <c r="F11" s="104">
        <v>10551000</v>
      </c>
      <c r="G11" s="87">
        <v>75.086618211154772</v>
      </c>
      <c r="H11" s="1" t="s">
        <v>141</v>
      </c>
      <c r="I11" s="58">
        <v>5</v>
      </c>
      <c r="J11" s="87">
        <v>69.043628120751734</v>
      </c>
      <c r="K11" s="87">
        <v>62.360026576138637</v>
      </c>
      <c r="L11" s="87">
        <v>86.6799736362765</v>
      </c>
      <c r="M11" s="87">
        <v>82.262844511452229</v>
      </c>
      <c r="N11" s="58">
        <v>6</v>
      </c>
      <c r="O11" s="58">
        <v>11</v>
      </c>
      <c r="P11" s="58">
        <v>8</v>
      </c>
      <c r="Q11" s="58">
        <v>4</v>
      </c>
      <c r="R11" s="58">
        <v>79.816404728720428</v>
      </c>
      <c r="S11" s="58">
        <v>57.278723724879455</v>
      </c>
      <c r="T11" s="58">
        <v>70.035755908655275</v>
      </c>
      <c r="U11" s="58">
        <v>58.508155300995355</v>
      </c>
      <c r="V11" s="58">
        <v>58.451885198349096</v>
      </c>
      <c r="W11" s="58">
        <v>70.120039229071452</v>
      </c>
      <c r="X11" s="58">
        <v>92.551596281284745</v>
      </c>
      <c r="Y11" s="58">
        <v>87.97239492252838</v>
      </c>
      <c r="Z11" s="58">
        <v>79.515929705016376</v>
      </c>
      <c r="AA11" s="58">
        <v>71.162055852983997</v>
      </c>
      <c r="AB11" s="58">
        <v>90.692968318412696</v>
      </c>
      <c r="AC11" s="58">
        <v>84.93350936296001</v>
      </c>
      <c r="AD11" s="58">
        <v>19</v>
      </c>
      <c r="AE11" s="58">
        <v>9</v>
      </c>
      <c r="AF11" s="58">
        <v>3</v>
      </c>
      <c r="AG11" s="58">
        <v>34</v>
      </c>
      <c r="AH11" s="58">
        <v>12</v>
      </c>
      <c r="AI11" s="58">
        <v>6</v>
      </c>
      <c r="AJ11" s="58">
        <v>7</v>
      </c>
      <c r="AK11" s="58">
        <v>5</v>
      </c>
      <c r="AL11" s="58">
        <v>24</v>
      </c>
      <c r="AM11" s="58">
        <v>5</v>
      </c>
      <c r="AN11" s="58">
        <v>5</v>
      </c>
      <c r="AO11" s="58">
        <v>10</v>
      </c>
      <c r="AP11" s="58">
        <v>86.4576283048074</v>
      </c>
      <c r="AQ11" s="58">
        <v>83.911159437447225</v>
      </c>
      <c r="AR11" s="58">
        <v>39.049143317970255</v>
      </c>
      <c r="AS11" s="58">
        <v>100</v>
      </c>
      <c r="AT11" s="58">
        <v>69.480497312097725</v>
      </c>
      <c r="AU11" s="58">
        <v>100</v>
      </c>
      <c r="AV11" s="58">
        <v>85.13955388890551</v>
      </c>
      <c r="AW11" s="58">
        <v>57.316392169846822</v>
      </c>
      <c r="AX11" s="58">
        <v>78.370323656688186</v>
      </c>
      <c r="AY11" s="58">
        <v>8.288625184077322</v>
      </c>
      <c r="AZ11" s="58">
        <v>88.502538158653039</v>
      </c>
      <c r="BA11" s="58">
        <v>92</v>
      </c>
      <c r="BB11" s="58">
        <v>45.981880383781373</v>
      </c>
      <c r="BC11" s="58">
        <v>53.658605092186683</v>
      </c>
      <c r="BD11" s="58">
        <v>26.062295898277032</v>
      </c>
      <c r="BE11" s="58">
        <v>85.208412584940419</v>
      </c>
      <c r="BF11" s="58">
        <v>84.655808898744567</v>
      </c>
      <c r="BG11" s="58" t="s">
        <v>920</v>
      </c>
      <c r="BH11" s="58">
        <v>38.106103822019392</v>
      </c>
      <c r="BI11" s="58">
        <v>92.643534959009486</v>
      </c>
      <c r="BJ11" s="58">
        <v>50.254737164492738</v>
      </c>
      <c r="BK11" s="58">
        <v>50.798079333394085</v>
      </c>
      <c r="BL11" s="58">
        <v>40.111189336500082</v>
      </c>
      <c r="BM11" s="58">
        <v>85.997521685254029</v>
      </c>
      <c r="BN11" s="58">
        <v>58.110724585371585</v>
      </c>
      <c r="BO11" s="58">
        <v>79.645581281244432</v>
      </c>
      <c r="BP11" s="58">
        <v>56.726329364415776</v>
      </c>
      <c r="BQ11" s="58">
        <v>87.929554038053169</v>
      </c>
      <c r="BR11" s="58">
        <v>99.174283963821566</v>
      </c>
      <c r="BS11" s="58" t="s">
        <v>920</v>
      </c>
      <c r="BT11" s="58">
        <v>90.550950841979471</v>
      </c>
      <c r="BU11" s="58">
        <v>85.22110428370263</v>
      </c>
      <c r="BV11" s="58">
        <v>81.249999999882817</v>
      </c>
      <c r="BW11" s="58">
        <v>79.40497236140817</v>
      </c>
      <c r="BX11" s="58">
        <v>100</v>
      </c>
      <c r="BY11" s="58">
        <v>93.985897967648285</v>
      </c>
      <c r="BZ11" s="58">
        <v>78.258569614896317</v>
      </c>
      <c r="CA11" s="58">
        <v>96.188740844823755</v>
      </c>
      <c r="CB11" s="58">
        <v>64.100478655329056</v>
      </c>
      <c r="CC11" s="58" t="s">
        <v>920</v>
      </c>
      <c r="CD11" s="58">
        <v>100</v>
      </c>
      <c r="CE11" s="58">
        <v>63.036347707532812</v>
      </c>
      <c r="CF11" s="58">
        <v>69.550273484473109</v>
      </c>
      <c r="CG11" s="58">
        <v>52.061602219930073</v>
      </c>
      <c r="CH11" s="58">
        <v>91.264521894548693</v>
      </c>
      <c r="CI11" s="58">
        <v>92.187499999999986</v>
      </c>
      <c r="CJ11" s="58">
        <v>85.969387755102048</v>
      </c>
      <c r="CK11" s="58">
        <v>91.284378366276727</v>
      </c>
      <c r="CL11" s="58">
        <v>100</v>
      </c>
      <c r="CM11" s="58">
        <v>62.084039526179303</v>
      </c>
      <c r="CN11" s="58">
        <v>100</v>
      </c>
      <c r="CO11" s="58">
        <v>78.794402583423036</v>
      </c>
      <c r="CP11" s="58">
        <v>97.711190684475383</v>
      </c>
      <c r="CQ11" s="58">
        <v>18</v>
      </c>
      <c r="CR11" s="58">
        <v>40</v>
      </c>
      <c r="CS11" s="58">
        <v>44</v>
      </c>
      <c r="CT11" s="58">
        <v>1</v>
      </c>
      <c r="CU11" s="58">
        <v>74</v>
      </c>
      <c r="CV11" s="58">
        <v>1</v>
      </c>
      <c r="CW11" s="58">
        <v>5</v>
      </c>
      <c r="CX11" s="58">
        <v>14</v>
      </c>
      <c r="CY11" s="58">
        <v>11</v>
      </c>
      <c r="CZ11" s="58">
        <v>50</v>
      </c>
      <c r="DA11" s="58">
        <v>13</v>
      </c>
      <c r="DB11" s="58">
        <v>3</v>
      </c>
      <c r="DC11" s="58">
        <v>6</v>
      </c>
      <c r="DD11" s="58">
        <v>4</v>
      </c>
      <c r="DE11" s="58">
        <v>41</v>
      </c>
      <c r="DF11" s="58">
        <v>6</v>
      </c>
      <c r="DG11" s="58">
        <v>11</v>
      </c>
      <c r="DH11" s="58" t="s">
        <v>920</v>
      </c>
      <c r="DI11" s="58">
        <v>15</v>
      </c>
      <c r="DJ11" s="58">
        <v>8</v>
      </c>
      <c r="DK11" s="58">
        <v>11</v>
      </c>
      <c r="DL11" s="58">
        <v>30</v>
      </c>
      <c r="DM11" s="58">
        <v>15</v>
      </c>
      <c r="DN11" s="58">
        <v>27</v>
      </c>
      <c r="DO11" s="58">
        <v>19</v>
      </c>
      <c r="DP11" s="58">
        <v>11</v>
      </c>
      <c r="DQ11" s="58">
        <v>3</v>
      </c>
      <c r="DR11" s="58">
        <v>19</v>
      </c>
      <c r="DS11" s="58">
        <v>18</v>
      </c>
      <c r="DT11" s="58" t="s">
        <v>920</v>
      </c>
      <c r="DU11" s="58">
        <v>3</v>
      </c>
      <c r="DV11" s="58">
        <v>10</v>
      </c>
      <c r="DW11" s="58">
        <v>41</v>
      </c>
      <c r="DX11" s="58">
        <v>15</v>
      </c>
      <c r="DY11" s="58">
        <v>1</v>
      </c>
      <c r="DZ11" s="58">
        <v>7</v>
      </c>
      <c r="EA11" s="58">
        <v>35</v>
      </c>
      <c r="EB11" s="58">
        <v>14</v>
      </c>
      <c r="EC11" s="58">
        <v>63</v>
      </c>
      <c r="ED11" s="58" t="s">
        <v>920</v>
      </c>
      <c r="EE11" s="58">
        <v>1</v>
      </c>
      <c r="EF11" s="58">
        <v>40</v>
      </c>
      <c r="EG11" s="58">
        <v>23</v>
      </c>
      <c r="EH11" s="58">
        <v>12</v>
      </c>
      <c r="EI11" s="58">
        <v>4</v>
      </c>
      <c r="EJ11" s="58">
        <v>13</v>
      </c>
      <c r="EK11" s="58">
        <v>19</v>
      </c>
      <c r="EL11" s="58">
        <v>8</v>
      </c>
      <c r="EM11" s="58">
        <v>1</v>
      </c>
      <c r="EN11" s="58">
        <v>18</v>
      </c>
      <c r="EO11" s="58">
        <v>1</v>
      </c>
      <c r="EP11" s="58">
        <v>50</v>
      </c>
      <c r="EQ11" s="58">
        <v>3</v>
      </c>
    </row>
    <row r="12" spans="1:147" x14ac:dyDescent="0.45">
      <c r="A12" t="s">
        <v>9</v>
      </c>
      <c r="B12" s="59" t="s">
        <v>288</v>
      </c>
      <c r="C12" s="37" t="s">
        <v>10</v>
      </c>
      <c r="D12" s="37" t="s">
        <v>880</v>
      </c>
      <c r="E12" s="104">
        <v>84035.222999999998</v>
      </c>
      <c r="F12" s="104">
        <v>18093000</v>
      </c>
      <c r="G12" s="87">
        <v>75.084631564669266</v>
      </c>
      <c r="H12" s="1" t="s">
        <v>140</v>
      </c>
      <c r="I12" s="58">
        <v>6</v>
      </c>
      <c r="J12" s="87">
        <v>72.014949914062257</v>
      </c>
      <c r="K12" s="87">
        <v>58.71172111776189</v>
      </c>
      <c r="L12" s="87">
        <v>89.564062475907406</v>
      </c>
      <c r="M12" s="87">
        <v>80.047792750945533</v>
      </c>
      <c r="N12" s="58">
        <v>3</v>
      </c>
      <c r="O12" s="58">
        <v>18</v>
      </c>
      <c r="P12" s="58">
        <v>3</v>
      </c>
      <c r="Q12" s="58">
        <v>5</v>
      </c>
      <c r="R12" s="58">
        <v>80.842580163785584</v>
      </c>
      <c r="S12" s="58">
        <v>69.612109832180437</v>
      </c>
      <c r="T12" s="58">
        <v>65.590159746220763</v>
      </c>
      <c r="U12" s="58">
        <v>55.556758883887142</v>
      </c>
      <c r="V12" s="58">
        <v>57.604596250899156</v>
      </c>
      <c r="W12" s="58">
        <v>62.973808218499357</v>
      </c>
      <c r="X12" s="58">
        <v>94.8354158932204</v>
      </c>
      <c r="Y12" s="58">
        <v>89.677069957509772</v>
      </c>
      <c r="Z12" s="58">
        <v>84.179701576992059</v>
      </c>
      <c r="AA12" s="58">
        <v>67.458626667144586</v>
      </c>
      <c r="AB12" s="58">
        <v>87.279674011059271</v>
      </c>
      <c r="AC12" s="58">
        <v>85.405077574632713</v>
      </c>
      <c r="AD12" s="58">
        <v>15</v>
      </c>
      <c r="AE12" s="58">
        <v>3</v>
      </c>
      <c r="AF12" s="58">
        <v>7</v>
      </c>
      <c r="AG12" s="58">
        <v>45</v>
      </c>
      <c r="AH12" s="58">
        <v>13</v>
      </c>
      <c r="AI12" s="58">
        <v>19</v>
      </c>
      <c r="AJ12" s="58">
        <v>2</v>
      </c>
      <c r="AK12" s="58">
        <v>4</v>
      </c>
      <c r="AL12" s="58">
        <v>11</v>
      </c>
      <c r="AM12" s="58">
        <v>8</v>
      </c>
      <c r="AN12" s="58">
        <v>7</v>
      </c>
      <c r="AO12" s="58">
        <v>8</v>
      </c>
      <c r="AP12" s="58">
        <v>86.162742269711202</v>
      </c>
      <c r="AQ12" s="58">
        <v>94.006383395059189</v>
      </c>
      <c r="AR12" s="58">
        <v>34.956122466417341</v>
      </c>
      <c r="AS12" s="58">
        <v>94.73684210526315</v>
      </c>
      <c r="AT12" s="58">
        <v>75.193390746262637</v>
      </c>
      <c r="AU12" s="58">
        <v>100</v>
      </c>
      <c r="AV12" s="58">
        <v>93.595753979073095</v>
      </c>
      <c r="AW12" s="58">
        <v>100</v>
      </c>
      <c r="AX12" s="58">
        <v>72.130879382623732</v>
      </c>
      <c r="AY12" s="58">
        <v>12.72180596702494</v>
      </c>
      <c r="AZ12" s="58">
        <v>96.37387830412122</v>
      </c>
      <c r="BA12" s="58">
        <v>87.75</v>
      </c>
      <c r="BB12" s="58">
        <v>35.791563253827498</v>
      </c>
      <c r="BC12" s="58">
        <v>42.445197426934385</v>
      </c>
      <c r="BD12" s="58">
        <v>20.555660296220726</v>
      </c>
      <c r="BE12" s="58">
        <v>67.541494366905525</v>
      </c>
      <c r="BF12" s="58">
        <v>86.154980701287158</v>
      </c>
      <c r="BG12" s="58" t="s">
        <v>920</v>
      </c>
      <c r="BH12" s="58">
        <v>47.974900171135189</v>
      </c>
      <c r="BI12" s="58">
        <v>88.69851179244209</v>
      </c>
      <c r="BJ12" s="58">
        <v>35.621530944238408</v>
      </c>
      <c r="BK12" s="58">
        <v>59.404438993551068</v>
      </c>
      <c r="BL12" s="58">
        <v>46.693903273365059</v>
      </c>
      <c r="BM12" s="58">
        <v>90.517438433127609</v>
      </c>
      <c r="BN12" s="58">
        <v>73.285472196613853</v>
      </c>
      <c r="BO12" s="58">
        <v>53.047655524431057</v>
      </c>
      <c r="BP12" s="58">
        <v>35.044666719824917</v>
      </c>
      <c r="BQ12" s="58">
        <v>98.261093766215808</v>
      </c>
      <c r="BR12" s="58">
        <v>99.059947794238113</v>
      </c>
      <c r="BS12" s="58" t="s">
        <v>920</v>
      </c>
      <c r="BT12" s="58">
        <v>87.185206119207265</v>
      </c>
      <c r="BU12" s="58">
        <v>87.046632448945658</v>
      </c>
      <c r="BV12" s="58">
        <v>89.687499999935554</v>
      </c>
      <c r="BW12" s="58">
        <v>81.356733721911169</v>
      </c>
      <c r="BX12" s="58">
        <v>100</v>
      </c>
      <c r="BY12" s="58">
        <v>90.294483616756537</v>
      </c>
      <c r="BZ12" s="58">
        <v>92.752856538298772</v>
      </c>
      <c r="CA12" s="58">
        <v>95.953965093756011</v>
      </c>
      <c r="CB12" s="58">
        <v>63.832283098921394</v>
      </c>
      <c r="CC12" s="58" t="s">
        <v>920</v>
      </c>
      <c r="CD12" s="58">
        <v>72.473748866748082</v>
      </c>
      <c r="CE12" s="58">
        <v>69.229500475266676</v>
      </c>
      <c r="CF12" s="58">
        <v>94.324526491539828</v>
      </c>
      <c r="CG12" s="58">
        <v>33.806730835023771</v>
      </c>
      <c r="CH12" s="58">
        <v>90.393208221626452</v>
      </c>
      <c r="CI12" s="58">
        <v>80.208333333333329</v>
      </c>
      <c r="CJ12" s="58">
        <v>95.153061224489804</v>
      </c>
      <c r="CK12" s="58">
        <v>87.321899731946161</v>
      </c>
      <c r="CL12" s="58">
        <v>100</v>
      </c>
      <c r="CM12" s="58">
        <v>59.040855405856085</v>
      </c>
      <c r="CN12" s="58">
        <v>100</v>
      </c>
      <c r="CO12" s="58">
        <v>87.082884822389659</v>
      </c>
      <c r="CP12" s="58">
        <v>90.993140140570233</v>
      </c>
      <c r="CQ12" s="58">
        <v>23</v>
      </c>
      <c r="CR12" s="58">
        <v>22</v>
      </c>
      <c r="CS12" s="58">
        <v>54</v>
      </c>
      <c r="CT12" s="58">
        <v>63</v>
      </c>
      <c r="CU12" s="58">
        <v>44</v>
      </c>
      <c r="CV12" s="58">
        <v>1</v>
      </c>
      <c r="CW12" s="58">
        <v>4</v>
      </c>
      <c r="CX12" s="58">
        <v>1</v>
      </c>
      <c r="CY12" s="58">
        <v>27</v>
      </c>
      <c r="CZ12" s="58">
        <v>44</v>
      </c>
      <c r="DA12" s="58">
        <v>6</v>
      </c>
      <c r="DB12" s="58">
        <v>5</v>
      </c>
      <c r="DC12" s="58">
        <v>12</v>
      </c>
      <c r="DD12" s="58">
        <v>20</v>
      </c>
      <c r="DE12" s="58">
        <v>49</v>
      </c>
      <c r="DF12" s="58">
        <v>34</v>
      </c>
      <c r="DG12" s="58">
        <v>9</v>
      </c>
      <c r="DH12" s="58" t="s">
        <v>920</v>
      </c>
      <c r="DI12" s="58">
        <v>9</v>
      </c>
      <c r="DJ12" s="58">
        <v>14</v>
      </c>
      <c r="DK12" s="58">
        <v>17</v>
      </c>
      <c r="DL12" s="58">
        <v>17</v>
      </c>
      <c r="DM12" s="58">
        <v>10</v>
      </c>
      <c r="DN12" s="58">
        <v>15</v>
      </c>
      <c r="DO12" s="58">
        <v>5</v>
      </c>
      <c r="DP12" s="58">
        <v>32</v>
      </c>
      <c r="DQ12" s="58">
        <v>15</v>
      </c>
      <c r="DR12" s="58">
        <v>4</v>
      </c>
      <c r="DS12" s="58">
        <v>22</v>
      </c>
      <c r="DT12" s="58" t="s">
        <v>920</v>
      </c>
      <c r="DU12" s="58">
        <v>7</v>
      </c>
      <c r="DV12" s="58">
        <v>6</v>
      </c>
      <c r="DW12" s="58">
        <v>19</v>
      </c>
      <c r="DX12" s="58">
        <v>12</v>
      </c>
      <c r="DY12" s="58">
        <v>1</v>
      </c>
      <c r="DZ12" s="58">
        <v>12</v>
      </c>
      <c r="EA12" s="58">
        <v>12</v>
      </c>
      <c r="EB12" s="58">
        <v>16</v>
      </c>
      <c r="EC12" s="58">
        <v>65</v>
      </c>
      <c r="ED12" s="58" t="s">
        <v>920</v>
      </c>
      <c r="EE12" s="58">
        <v>11</v>
      </c>
      <c r="EF12" s="58">
        <v>27</v>
      </c>
      <c r="EG12" s="58">
        <v>2</v>
      </c>
      <c r="EH12" s="58">
        <v>26</v>
      </c>
      <c r="EI12" s="58">
        <v>5</v>
      </c>
      <c r="EJ12" s="58">
        <v>45</v>
      </c>
      <c r="EK12" s="58">
        <v>5</v>
      </c>
      <c r="EL12" s="58">
        <v>19</v>
      </c>
      <c r="EM12" s="58">
        <v>1</v>
      </c>
      <c r="EN12" s="58">
        <v>25</v>
      </c>
      <c r="EO12" s="58">
        <v>1</v>
      </c>
      <c r="EP12" s="58">
        <v>21</v>
      </c>
      <c r="EQ12" s="58">
        <v>17</v>
      </c>
    </row>
    <row r="13" spans="1:147" x14ac:dyDescent="0.45">
      <c r="A13" t="s">
        <v>16</v>
      </c>
      <c r="B13" s="59" t="s">
        <v>294</v>
      </c>
      <c r="C13" s="37" t="s">
        <v>10</v>
      </c>
      <c r="D13" s="37" t="s">
        <v>880</v>
      </c>
      <c r="E13" s="104">
        <v>73553.296000000002</v>
      </c>
      <c r="F13" s="104">
        <v>84548000</v>
      </c>
      <c r="G13" s="87">
        <v>74.121352152110632</v>
      </c>
      <c r="H13" s="1" t="s">
        <v>147</v>
      </c>
      <c r="I13" s="58">
        <v>7</v>
      </c>
      <c r="J13" s="87">
        <v>70.274689107482146</v>
      </c>
      <c r="K13" s="87">
        <v>63.0496156877565</v>
      </c>
      <c r="L13" s="87">
        <v>86.835444470599626</v>
      </c>
      <c r="M13" s="87">
        <v>76.325659342604254</v>
      </c>
      <c r="N13" s="58">
        <v>5</v>
      </c>
      <c r="O13" s="58">
        <v>9</v>
      </c>
      <c r="P13" s="58">
        <v>6</v>
      </c>
      <c r="Q13" s="58">
        <v>9</v>
      </c>
      <c r="R13" s="58">
        <v>81.550007616732998</v>
      </c>
      <c r="S13" s="58">
        <v>64.953371085763109</v>
      </c>
      <c r="T13" s="58">
        <v>64.320688619950346</v>
      </c>
      <c r="U13" s="58">
        <v>58.722097288301178</v>
      </c>
      <c r="V13" s="58">
        <v>62.339869426980655</v>
      </c>
      <c r="W13" s="58">
        <v>68.086880347987645</v>
      </c>
      <c r="X13" s="58">
        <v>87.379837157924385</v>
      </c>
      <c r="Y13" s="58">
        <v>85.512986443925058</v>
      </c>
      <c r="Z13" s="58">
        <v>87.613509809949434</v>
      </c>
      <c r="AA13" s="58">
        <v>64.566047106689496</v>
      </c>
      <c r="AB13" s="58">
        <v>79.631508679936914</v>
      </c>
      <c r="AC13" s="58">
        <v>84.779422241186339</v>
      </c>
      <c r="AD13" s="58">
        <v>13</v>
      </c>
      <c r="AE13" s="58">
        <v>4</v>
      </c>
      <c r="AF13" s="58">
        <v>8</v>
      </c>
      <c r="AG13" s="58">
        <v>32</v>
      </c>
      <c r="AH13" s="58">
        <v>8</v>
      </c>
      <c r="AI13" s="58">
        <v>8</v>
      </c>
      <c r="AJ13" s="58">
        <v>16</v>
      </c>
      <c r="AK13" s="58">
        <v>14</v>
      </c>
      <c r="AL13" s="58">
        <v>5</v>
      </c>
      <c r="AM13" s="58">
        <v>9</v>
      </c>
      <c r="AN13" s="58">
        <v>22</v>
      </c>
      <c r="AO13" s="58">
        <v>12</v>
      </c>
      <c r="AP13" s="58">
        <v>90.406810288576693</v>
      </c>
      <c r="AQ13" s="58">
        <v>97.81304427880076</v>
      </c>
      <c r="AR13" s="58">
        <v>40.944454786787752</v>
      </c>
      <c r="AS13" s="58">
        <v>99.84210526315789</v>
      </c>
      <c r="AT13" s="58">
        <v>78.743623466341873</v>
      </c>
      <c r="AU13" s="58" t="s">
        <v>920</v>
      </c>
      <c r="AV13" s="58">
        <v>60.65654067690852</v>
      </c>
      <c r="AW13" s="58">
        <v>78.476658733249721</v>
      </c>
      <c r="AX13" s="58">
        <v>69.351399767343764</v>
      </c>
      <c r="AY13" s="58">
        <v>51.328885165550467</v>
      </c>
      <c r="AZ13" s="58">
        <v>78.213016676041676</v>
      </c>
      <c r="BA13" s="58">
        <v>86.75</v>
      </c>
      <c r="BB13" s="58">
        <v>54.779188857275564</v>
      </c>
      <c r="BC13" s="58">
        <v>37.540548946484151</v>
      </c>
      <c r="BD13" s="58">
        <v>40.321763578348083</v>
      </c>
      <c r="BE13" s="58">
        <v>60.899431281557156</v>
      </c>
      <c r="BF13" s="58">
        <v>84.665482941331419</v>
      </c>
      <c r="BG13" s="58" t="s">
        <v>920</v>
      </c>
      <c r="BH13" s="58">
        <v>49.001711351968055</v>
      </c>
      <c r="BI13" s="58">
        <v>93.835851570279488</v>
      </c>
      <c r="BJ13" s="58">
        <v>17.314972470259484</v>
      </c>
      <c r="BK13" s="58">
        <v>72.945953795000491</v>
      </c>
      <c r="BL13" s="58">
        <v>65.26269987238318</v>
      </c>
      <c r="BM13" s="58">
        <v>90.837453832364872</v>
      </c>
      <c r="BN13" s="58">
        <v>71.150593621116343</v>
      </c>
      <c r="BO13" s="58">
        <v>61.470294464429202</v>
      </c>
      <c r="BP13" s="58">
        <v>48.889179474040183</v>
      </c>
      <c r="BQ13" s="58">
        <v>96.110651937990184</v>
      </c>
      <c r="BR13" s="58">
        <v>97.421984789894466</v>
      </c>
      <c r="BS13" s="58" t="s">
        <v>920</v>
      </c>
      <c r="BT13" s="58">
        <v>68.60687474588849</v>
      </c>
      <c r="BU13" s="58">
        <v>78.688624844137053</v>
      </c>
      <c r="BV13" s="58">
        <v>89.687499999935554</v>
      </c>
      <c r="BW13" s="58">
        <v>74.3277538707829</v>
      </c>
      <c r="BX13" s="58">
        <v>100</v>
      </c>
      <c r="BY13" s="58">
        <v>84.861053504769814</v>
      </c>
      <c r="BZ13" s="58">
        <v>97.101142615319517</v>
      </c>
      <c r="CA13" s="58">
        <v>99.885735469158249</v>
      </c>
      <c r="CB13" s="58">
        <v>65.85365134537048</v>
      </c>
      <c r="CC13" s="58" t="s">
        <v>920</v>
      </c>
      <c r="CD13" s="58">
        <v>88.758458084502735</v>
      </c>
      <c r="CE13" s="58">
        <v>82.71098649398337</v>
      </c>
      <c r="CF13" s="58">
        <v>69.040547663309525</v>
      </c>
      <c r="CG13" s="58">
        <v>17.754196184962378</v>
      </c>
      <c r="CH13" s="58">
        <v>78.038427167113497</v>
      </c>
      <c r="CI13" s="58">
        <v>79.947916666666657</v>
      </c>
      <c r="CJ13" s="58">
        <v>78.061224489795933</v>
      </c>
      <c r="CK13" s="58">
        <v>83.755139922265315</v>
      </c>
      <c r="CL13" s="58">
        <v>100</v>
      </c>
      <c r="CM13" s="58">
        <v>59.980755195359635</v>
      </c>
      <c r="CN13" s="58">
        <v>100</v>
      </c>
      <c r="CO13" s="58">
        <v>86.437029063509144</v>
      </c>
      <c r="CP13" s="58">
        <v>85.399809411753111</v>
      </c>
      <c r="CQ13" s="58">
        <v>10</v>
      </c>
      <c r="CR13" s="58">
        <v>9</v>
      </c>
      <c r="CS13" s="58">
        <v>41</v>
      </c>
      <c r="CT13" s="58">
        <v>28</v>
      </c>
      <c r="CU13" s="58">
        <v>27</v>
      </c>
      <c r="CV13" s="58" t="s">
        <v>920</v>
      </c>
      <c r="CW13" s="58">
        <v>17</v>
      </c>
      <c r="CX13" s="58">
        <v>7</v>
      </c>
      <c r="CY13" s="58">
        <v>44</v>
      </c>
      <c r="CZ13" s="58">
        <v>16</v>
      </c>
      <c r="DA13" s="58">
        <v>25</v>
      </c>
      <c r="DB13" s="58">
        <v>7</v>
      </c>
      <c r="DC13" s="58">
        <v>4</v>
      </c>
      <c r="DD13" s="58">
        <v>21</v>
      </c>
      <c r="DE13" s="58">
        <v>22</v>
      </c>
      <c r="DF13" s="58">
        <v>41</v>
      </c>
      <c r="DG13" s="58">
        <v>10</v>
      </c>
      <c r="DH13" s="58" t="s">
        <v>920</v>
      </c>
      <c r="DI13" s="58">
        <v>8</v>
      </c>
      <c r="DJ13" s="58">
        <v>4</v>
      </c>
      <c r="DK13" s="58">
        <v>34</v>
      </c>
      <c r="DL13" s="58">
        <v>5</v>
      </c>
      <c r="DM13" s="58">
        <v>3</v>
      </c>
      <c r="DN13" s="58">
        <v>12</v>
      </c>
      <c r="DO13" s="58">
        <v>9</v>
      </c>
      <c r="DP13" s="58">
        <v>26</v>
      </c>
      <c r="DQ13" s="58">
        <v>9</v>
      </c>
      <c r="DR13" s="58">
        <v>9</v>
      </c>
      <c r="DS13" s="58">
        <v>33</v>
      </c>
      <c r="DT13" s="58" t="s">
        <v>920</v>
      </c>
      <c r="DU13" s="58">
        <v>22</v>
      </c>
      <c r="DV13" s="58">
        <v>16</v>
      </c>
      <c r="DW13" s="58">
        <v>19</v>
      </c>
      <c r="DX13" s="58">
        <v>21</v>
      </c>
      <c r="DY13" s="58">
        <v>1</v>
      </c>
      <c r="DZ13" s="58">
        <v>21</v>
      </c>
      <c r="EA13" s="58">
        <v>4</v>
      </c>
      <c r="EB13" s="58">
        <v>2</v>
      </c>
      <c r="EC13" s="58">
        <v>50</v>
      </c>
      <c r="ED13" s="58" t="s">
        <v>920</v>
      </c>
      <c r="EE13" s="58">
        <v>9</v>
      </c>
      <c r="EF13" s="58">
        <v>6</v>
      </c>
      <c r="EG13" s="58">
        <v>24</v>
      </c>
      <c r="EH13" s="58">
        <v>52</v>
      </c>
      <c r="EI13" s="58">
        <v>22</v>
      </c>
      <c r="EJ13" s="58">
        <v>46</v>
      </c>
      <c r="EK13" s="58">
        <v>37</v>
      </c>
      <c r="EL13" s="58">
        <v>26</v>
      </c>
      <c r="EM13" s="58">
        <v>1</v>
      </c>
      <c r="EN13" s="58">
        <v>23</v>
      </c>
      <c r="EO13" s="58">
        <v>1</v>
      </c>
      <c r="EP13" s="58">
        <v>24</v>
      </c>
      <c r="EQ13" s="58">
        <v>26</v>
      </c>
    </row>
    <row r="14" spans="1:147" x14ac:dyDescent="0.45">
      <c r="A14" t="s">
        <v>18</v>
      </c>
      <c r="B14" s="59" t="s">
        <v>297</v>
      </c>
      <c r="C14" s="37" t="s">
        <v>10</v>
      </c>
      <c r="D14" s="37" t="s">
        <v>880</v>
      </c>
      <c r="E14" s="104">
        <v>63759.050999999999</v>
      </c>
      <c r="F14" s="104">
        <v>68683000</v>
      </c>
      <c r="G14" s="87">
        <v>73.851631876381575</v>
      </c>
      <c r="H14" s="1" t="s">
        <v>149</v>
      </c>
      <c r="I14" s="58">
        <v>8</v>
      </c>
      <c r="J14" s="87">
        <v>67.741272176822235</v>
      </c>
      <c r="K14" s="87">
        <v>67.973040850474362</v>
      </c>
      <c r="L14" s="87">
        <v>84.618739202666461</v>
      </c>
      <c r="M14" s="87">
        <v>75.073475275563212</v>
      </c>
      <c r="N14" s="58">
        <v>7</v>
      </c>
      <c r="O14" s="58">
        <v>5</v>
      </c>
      <c r="P14" s="58">
        <v>13</v>
      </c>
      <c r="Q14" s="58">
        <v>11</v>
      </c>
      <c r="R14" s="58">
        <v>83.053022691290295</v>
      </c>
      <c r="S14" s="58">
        <v>64.277772270769404</v>
      </c>
      <c r="T14" s="58">
        <v>55.893021568406986</v>
      </c>
      <c r="U14" s="58">
        <v>58.706110571417071</v>
      </c>
      <c r="V14" s="58">
        <v>71.552575001832892</v>
      </c>
      <c r="W14" s="58">
        <v>73.660436978173109</v>
      </c>
      <c r="X14" s="58">
        <v>87.948117539912843</v>
      </c>
      <c r="Y14" s="58">
        <v>78.329280175846037</v>
      </c>
      <c r="Z14" s="58">
        <v>87.578819892240517</v>
      </c>
      <c r="AA14" s="58">
        <v>58.294252242977642</v>
      </c>
      <c r="AB14" s="58">
        <v>79.882022196960875</v>
      </c>
      <c r="AC14" s="58">
        <v>87.044151386751096</v>
      </c>
      <c r="AD14" s="58">
        <v>11</v>
      </c>
      <c r="AE14" s="58">
        <v>5</v>
      </c>
      <c r="AF14" s="58">
        <v>17</v>
      </c>
      <c r="AG14" s="58">
        <v>33</v>
      </c>
      <c r="AH14" s="58">
        <v>3</v>
      </c>
      <c r="AI14" s="58">
        <v>3</v>
      </c>
      <c r="AJ14" s="58">
        <v>14</v>
      </c>
      <c r="AK14" s="58">
        <v>24</v>
      </c>
      <c r="AL14" s="58">
        <v>6</v>
      </c>
      <c r="AM14" s="58">
        <v>13</v>
      </c>
      <c r="AN14" s="58">
        <v>20</v>
      </c>
      <c r="AO14" s="58">
        <v>6</v>
      </c>
      <c r="AP14" s="58">
        <v>81.871536978706899</v>
      </c>
      <c r="AQ14" s="58">
        <v>100</v>
      </c>
      <c r="AR14" s="58">
        <v>45.011122155227007</v>
      </c>
      <c r="AS14" s="58">
        <v>99.473684210526343</v>
      </c>
      <c r="AT14" s="58">
        <v>88.908770111991203</v>
      </c>
      <c r="AU14" s="58" t="s">
        <v>920</v>
      </c>
      <c r="AV14" s="58">
        <v>55.610855374664816</v>
      </c>
      <c r="AW14" s="58">
        <v>68.223532656710859</v>
      </c>
      <c r="AX14" s="58">
        <v>72.937412159075677</v>
      </c>
      <c r="AY14" s="58">
        <v>60.339288892626264</v>
      </c>
      <c r="AZ14" s="58">
        <v>84.700879181807608</v>
      </c>
      <c r="BA14" s="58">
        <v>82.25</v>
      </c>
      <c r="BB14" s="58">
        <v>12.603991671363577</v>
      </c>
      <c r="BC14" s="58">
        <v>44.017215420456751</v>
      </c>
      <c r="BD14" s="58">
        <v>42.255254136919966</v>
      </c>
      <c r="BE14" s="58">
        <v>72.004102920333111</v>
      </c>
      <c r="BF14" s="58">
        <v>84.227378440052405</v>
      </c>
      <c r="BG14" s="58" t="s">
        <v>920</v>
      </c>
      <c r="BH14" s="58">
        <v>36.337706788362809</v>
      </c>
      <c r="BI14" s="58">
        <v>83.084313573926124</v>
      </c>
      <c r="BJ14" s="58">
        <v>70.071614815713261</v>
      </c>
      <c r="BK14" s="58">
        <v>69.977141697251326</v>
      </c>
      <c r="BL14" s="58">
        <v>63.07722992044085</v>
      </c>
      <c r="BM14" s="58">
        <v>94.404542774990674</v>
      </c>
      <c r="BN14" s="58">
        <v>71.310211395229857</v>
      </c>
      <c r="BO14" s="58">
        <v>84.878501818655167</v>
      </c>
      <c r="BP14" s="58">
        <v>44.048491923816719</v>
      </c>
      <c r="BQ14" s="58">
        <v>89.677605202862097</v>
      </c>
      <c r="BR14" s="58">
        <v>100</v>
      </c>
      <c r="BS14" s="58" t="s">
        <v>920</v>
      </c>
      <c r="BT14" s="58">
        <v>74.166747416876404</v>
      </c>
      <c r="BU14" s="58">
        <v>80.68037805794755</v>
      </c>
      <c r="BV14" s="58">
        <v>91.562499999947264</v>
      </c>
      <c r="BW14" s="58">
        <v>66.541639785250723</v>
      </c>
      <c r="BX14" s="58">
        <v>100</v>
      </c>
      <c r="BY14" s="58">
        <v>52.861883036084613</v>
      </c>
      <c r="BZ14" s="58">
        <v>97.101142615319517</v>
      </c>
      <c r="CA14" s="58">
        <v>99.335176169250587</v>
      </c>
      <c r="CB14" s="58">
        <v>66.300140892151461</v>
      </c>
      <c r="CC14" s="58" t="s">
        <v>920</v>
      </c>
      <c r="CD14" s="58">
        <v>40.828798297598865</v>
      </c>
      <c r="CE14" s="58">
        <v>79.474573876810524</v>
      </c>
      <c r="CF14" s="58">
        <v>79.462625892809243</v>
      </c>
      <c r="CG14" s="58">
        <v>33.411010904691949</v>
      </c>
      <c r="CH14" s="58">
        <v>77.479892761394098</v>
      </c>
      <c r="CI14" s="58">
        <v>81.770833333333343</v>
      </c>
      <c r="CJ14" s="58">
        <v>78.061224489795933</v>
      </c>
      <c r="CK14" s="58">
        <v>82.729456502514495</v>
      </c>
      <c r="CL14" s="58">
        <v>100</v>
      </c>
      <c r="CM14" s="58">
        <v>64.948432144244023</v>
      </c>
      <c r="CN14" s="58">
        <v>96.36363636363636</v>
      </c>
      <c r="CO14" s="58">
        <v>90.958019375672762</v>
      </c>
      <c r="CP14" s="58">
        <v>91.813035326902465</v>
      </c>
      <c r="CQ14" s="58">
        <v>34</v>
      </c>
      <c r="CR14" s="58">
        <v>1</v>
      </c>
      <c r="CS14" s="58">
        <v>32</v>
      </c>
      <c r="CT14" s="58">
        <v>29</v>
      </c>
      <c r="CU14" s="58">
        <v>7</v>
      </c>
      <c r="CV14" s="58" t="s">
        <v>920</v>
      </c>
      <c r="CW14" s="58">
        <v>20</v>
      </c>
      <c r="CX14" s="58">
        <v>10</v>
      </c>
      <c r="CY14" s="58">
        <v>25</v>
      </c>
      <c r="CZ14" s="58">
        <v>11</v>
      </c>
      <c r="DA14" s="58">
        <v>16</v>
      </c>
      <c r="DB14" s="58">
        <v>8</v>
      </c>
      <c r="DC14" s="58">
        <v>24</v>
      </c>
      <c r="DD14" s="58">
        <v>17</v>
      </c>
      <c r="DE14" s="58">
        <v>20</v>
      </c>
      <c r="DF14" s="58">
        <v>28</v>
      </c>
      <c r="DG14" s="58">
        <v>12</v>
      </c>
      <c r="DH14" s="58" t="s">
        <v>920</v>
      </c>
      <c r="DI14" s="58">
        <v>18</v>
      </c>
      <c r="DJ14" s="58">
        <v>22</v>
      </c>
      <c r="DK14" s="58">
        <v>7</v>
      </c>
      <c r="DL14" s="58">
        <v>7</v>
      </c>
      <c r="DM14" s="58">
        <v>4</v>
      </c>
      <c r="DN14" s="58">
        <v>7</v>
      </c>
      <c r="DO14" s="58">
        <v>6</v>
      </c>
      <c r="DP14" s="58">
        <v>7</v>
      </c>
      <c r="DQ14" s="58">
        <v>12</v>
      </c>
      <c r="DR14" s="58">
        <v>16</v>
      </c>
      <c r="DS14" s="58">
        <v>1</v>
      </c>
      <c r="DT14" s="58" t="s">
        <v>920</v>
      </c>
      <c r="DU14" s="58">
        <v>18</v>
      </c>
      <c r="DV14" s="58">
        <v>14</v>
      </c>
      <c r="DW14" s="58">
        <v>13</v>
      </c>
      <c r="DX14" s="58">
        <v>29</v>
      </c>
      <c r="DY14" s="58">
        <v>1</v>
      </c>
      <c r="DZ14" s="58">
        <v>84</v>
      </c>
      <c r="EA14" s="58">
        <v>4</v>
      </c>
      <c r="EB14" s="58">
        <v>5</v>
      </c>
      <c r="EC14" s="58">
        <v>45</v>
      </c>
      <c r="ED14" s="58" t="s">
        <v>920</v>
      </c>
      <c r="EE14" s="58">
        <v>20</v>
      </c>
      <c r="EF14" s="58">
        <v>10</v>
      </c>
      <c r="EG14" s="58">
        <v>10</v>
      </c>
      <c r="EH14" s="58">
        <v>27</v>
      </c>
      <c r="EI14" s="58">
        <v>23</v>
      </c>
      <c r="EJ14" s="58">
        <v>39</v>
      </c>
      <c r="EK14" s="58">
        <v>37</v>
      </c>
      <c r="EL14" s="58">
        <v>27</v>
      </c>
      <c r="EM14" s="58">
        <v>1</v>
      </c>
      <c r="EN14" s="58">
        <v>13</v>
      </c>
      <c r="EO14" s="58">
        <v>15</v>
      </c>
      <c r="EP14" s="58">
        <v>11</v>
      </c>
      <c r="EQ14" s="58">
        <v>16</v>
      </c>
    </row>
    <row r="15" spans="1:147" x14ac:dyDescent="0.45">
      <c r="A15" t="s">
        <v>14</v>
      </c>
      <c r="B15" s="59" t="s">
        <v>289</v>
      </c>
      <c r="C15" s="37" t="s">
        <v>10</v>
      </c>
      <c r="D15" s="37" t="s">
        <v>880</v>
      </c>
      <c r="E15" s="104">
        <v>97659.278000000006</v>
      </c>
      <c r="F15" s="104">
        <v>8871000</v>
      </c>
      <c r="G15" s="87">
        <v>73.625969759313335</v>
      </c>
      <c r="H15" s="1" t="s">
        <v>145</v>
      </c>
      <c r="I15" s="58">
        <v>9</v>
      </c>
      <c r="J15" s="87">
        <v>73.59580116645752</v>
      </c>
      <c r="K15" s="87">
        <v>59.490276187520088</v>
      </c>
      <c r="L15" s="87">
        <v>83.761682434486076</v>
      </c>
      <c r="M15" s="87">
        <v>77.656119248789636</v>
      </c>
      <c r="N15" s="58">
        <v>2</v>
      </c>
      <c r="O15" s="58">
        <v>15</v>
      </c>
      <c r="P15" s="58">
        <v>17</v>
      </c>
      <c r="Q15" s="58">
        <v>8</v>
      </c>
      <c r="R15" s="58">
        <v>81.215335988639197</v>
      </c>
      <c r="S15" s="58">
        <v>70.518443504641866</v>
      </c>
      <c r="T15" s="58">
        <v>69.053624006091496</v>
      </c>
      <c r="U15" s="58">
        <v>60.167528136237465</v>
      </c>
      <c r="V15" s="58">
        <v>51.485538228970434</v>
      </c>
      <c r="W15" s="58">
        <v>66.817762197352351</v>
      </c>
      <c r="X15" s="58">
        <v>81.482312058984476</v>
      </c>
      <c r="Y15" s="58">
        <v>87.872716222306195</v>
      </c>
      <c r="Z15" s="58">
        <v>81.930019022167514</v>
      </c>
      <c r="AA15" s="58">
        <v>64.27619033590392</v>
      </c>
      <c r="AB15" s="58">
        <v>83.009722374812767</v>
      </c>
      <c r="AC15" s="58">
        <v>85.68244503565225</v>
      </c>
      <c r="AD15" s="58">
        <v>14</v>
      </c>
      <c r="AE15" s="58">
        <v>2</v>
      </c>
      <c r="AF15" s="58">
        <v>5</v>
      </c>
      <c r="AG15" s="58">
        <v>25</v>
      </c>
      <c r="AH15" s="58">
        <v>22</v>
      </c>
      <c r="AI15" s="58">
        <v>12</v>
      </c>
      <c r="AJ15" s="58">
        <v>30</v>
      </c>
      <c r="AK15" s="58">
        <v>6</v>
      </c>
      <c r="AL15" s="58">
        <v>19</v>
      </c>
      <c r="AM15" s="58">
        <v>10</v>
      </c>
      <c r="AN15" s="58">
        <v>13</v>
      </c>
      <c r="AO15" s="58">
        <v>7</v>
      </c>
      <c r="AP15" s="58">
        <v>94.535940532037202</v>
      </c>
      <c r="AQ15" s="58">
        <v>96.15272163781566</v>
      </c>
      <c r="AR15" s="58">
        <v>27.122856449884591</v>
      </c>
      <c r="AS15" s="58">
        <v>100</v>
      </c>
      <c r="AT15" s="58">
        <v>69.480497312097725</v>
      </c>
      <c r="AU15" s="58">
        <v>100</v>
      </c>
      <c r="AV15" s="58">
        <v>100</v>
      </c>
      <c r="AW15" s="58">
        <v>100</v>
      </c>
      <c r="AX15" s="58">
        <v>74.658435031559435</v>
      </c>
      <c r="AY15" s="58">
        <v>7.4153389870080559</v>
      </c>
      <c r="AZ15" s="58">
        <v>99.624768931511682</v>
      </c>
      <c r="BA15" s="58">
        <v>89.25</v>
      </c>
      <c r="BB15" s="58">
        <v>35.852803471388384</v>
      </c>
      <c r="BC15" s="58">
        <v>51.48692362146592</v>
      </c>
      <c r="BD15" s="58">
        <v>20.34527736302654</v>
      </c>
      <c r="BE15" s="58">
        <v>86.07774830559201</v>
      </c>
      <c r="BF15" s="58">
        <v>81.081085735430008</v>
      </c>
      <c r="BG15" s="58" t="s">
        <v>920</v>
      </c>
      <c r="BH15" s="58">
        <v>53.166001140901308</v>
      </c>
      <c r="BI15" s="58" t="s">
        <v>920</v>
      </c>
      <c r="BJ15" s="58">
        <v>53.220825861941954</v>
      </c>
      <c r="BK15" s="58">
        <v>57.132374040438116</v>
      </c>
      <c r="BL15" s="58">
        <v>44.103414784531239</v>
      </c>
      <c r="BM15" s="58">
        <v>80.847198662191261</v>
      </c>
      <c r="BN15" s="58" t="s">
        <v>920</v>
      </c>
      <c r="BO15" s="58">
        <v>67.665237276297901</v>
      </c>
      <c r="BP15" s="58">
        <v>51.940850653567914</v>
      </c>
      <c r="BQ15" s="58">
        <v>96.853928043396948</v>
      </c>
      <c r="BR15" s="58">
        <v>89.492690582562702</v>
      </c>
      <c r="BS15" s="58" t="s">
        <v>920</v>
      </c>
      <c r="BT15" s="58">
        <v>58.100317550993807</v>
      </c>
      <c r="BU15" s="58">
        <v>85.505456779250082</v>
      </c>
      <c r="BV15" s="58">
        <v>91.562499999947264</v>
      </c>
      <c r="BW15" s="58">
        <v>89.576835448053274</v>
      </c>
      <c r="BX15" s="58">
        <v>75</v>
      </c>
      <c r="BY15" s="58">
        <v>97.718788884280372</v>
      </c>
      <c r="BZ15" s="58">
        <v>81.157426999576813</v>
      </c>
      <c r="CA15" s="58">
        <v>100</v>
      </c>
      <c r="CB15" s="58">
        <v>64.632630066925699</v>
      </c>
      <c r="CC15" s="58" t="s">
        <v>920</v>
      </c>
      <c r="CD15" s="58">
        <v>90.913043402473591</v>
      </c>
      <c r="CE15" s="58">
        <v>64.074279071658239</v>
      </c>
      <c r="CF15" s="58">
        <v>79.461047794291716</v>
      </c>
      <c r="CG15" s="58">
        <v>22.656391075192168</v>
      </c>
      <c r="CH15" s="58">
        <v>82.10455764075067</v>
      </c>
      <c r="CI15" s="58">
        <v>83.984375</v>
      </c>
      <c r="CJ15" s="58">
        <v>74.489795918367349</v>
      </c>
      <c r="CK15" s="58">
        <v>91.390673049007901</v>
      </c>
      <c r="CL15" s="58">
        <v>100</v>
      </c>
      <c r="CM15" s="58">
        <v>66.438020693554762</v>
      </c>
      <c r="CN15" s="58">
        <v>82.727272727272734</v>
      </c>
      <c r="CO15" s="58">
        <v>95.479009687836381</v>
      </c>
      <c r="CP15" s="58">
        <v>96.170954067890364</v>
      </c>
      <c r="CQ15" s="58">
        <v>6</v>
      </c>
      <c r="CR15" s="58">
        <v>15</v>
      </c>
      <c r="CS15" s="58">
        <v>78</v>
      </c>
      <c r="CT15" s="58">
        <v>1</v>
      </c>
      <c r="CU15" s="58">
        <v>74</v>
      </c>
      <c r="CV15" s="58">
        <v>1</v>
      </c>
      <c r="CW15" s="58">
        <v>1</v>
      </c>
      <c r="CX15" s="58">
        <v>1</v>
      </c>
      <c r="CY15" s="58">
        <v>16</v>
      </c>
      <c r="CZ15" s="58">
        <v>52</v>
      </c>
      <c r="DA15" s="58">
        <v>2</v>
      </c>
      <c r="DB15" s="58">
        <v>4</v>
      </c>
      <c r="DC15" s="58">
        <v>11</v>
      </c>
      <c r="DD15" s="58">
        <v>6</v>
      </c>
      <c r="DE15" s="58">
        <v>52</v>
      </c>
      <c r="DF15" s="58">
        <v>5</v>
      </c>
      <c r="DG15" s="58">
        <v>25</v>
      </c>
      <c r="DH15" s="58" t="s">
        <v>920</v>
      </c>
      <c r="DI15" s="58">
        <v>5</v>
      </c>
      <c r="DJ15" s="58" t="s">
        <v>920</v>
      </c>
      <c r="DK15" s="58">
        <v>10</v>
      </c>
      <c r="DL15" s="58">
        <v>20</v>
      </c>
      <c r="DM15" s="58">
        <v>13</v>
      </c>
      <c r="DN15" s="58">
        <v>38</v>
      </c>
      <c r="DO15" s="58" t="s">
        <v>920</v>
      </c>
      <c r="DP15" s="58">
        <v>20</v>
      </c>
      <c r="DQ15" s="58">
        <v>7</v>
      </c>
      <c r="DR15" s="58">
        <v>7</v>
      </c>
      <c r="DS15" s="58">
        <v>63</v>
      </c>
      <c r="DT15" s="58" t="s">
        <v>920</v>
      </c>
      <c r="DU15" s="58">
        <v>38</v>
      </c>
      <c r="DV15" s="58">
        <v>9</v>
      </c>
      <c r="DW15" s="58">
        <v>13</v>
      </c>
      <c r="DX15" s="58">
        <v>5</v>
      </c>
      <c r="DY15" s="58">
        <v>72</v>
      </c>
      <c r="DZ15" s="58">
        <v>4</v>
      </c>
      <c r="EA15" s="58">
        <v>32</v>
      </c>
      <c r="EB15" s="58">
        <v>1</v>
      </c>
      <c r="EC15" s="58">
        <v>57</v>
      </c>
      <c r="ED15" s="58" t="s">
        <v>920</v>
      </c>
      <c r="EE15" s="58">
        <v>8</v>
      </c>
      <c r="EF15" s="58">
        <v>36</v>
      </c>
      <c r="EG15" s="58">
        <v>11</v>
      </c>
      <c r="EH15" s="58">
        <v>44</v>
      </c>
      <c r="EI15" s="58">
        <v>13</v>
      </c>
      <c r="EJ15" s="58">
        <v>33</v>
      </c>
      <c r="EK15" s="58">
        <v>48</v>
      </c>
      <c r="EL15" s="58">
        <v>7</v>
      </c>
      <c r="EM15" s="58">
        <v>1</v>
      </c>
      <c r="EN15" s="58">
        <v>9</v>
      </c>
      <c r="EO15" s="58">
        <v>51</v>
      </c>
      <c r="EP15" s="58">
        <v>4</v>
      </c>
      <c r="EQ15" s="58">
        <v>6</v>
      </c>
    </row>
    <row r="16" spans="1:147" x14ac:dyDescent="0.45">
      <c r="A16" t="s">
        <v>282</v>
      </c>
      <c r="B16" s="59" t="s">
        <v>295</v>
      </c>
      <c r="C16" s="37" t="s">
        <v>31</v>
      </c>
      <c r="D16" s="37" t="s">
        <v>880</v>
      </c>
      <c r="E16" s="104">
        <v>65080.292999999998</v>
      </c>
      <c r="F16" s="104">
        <v>51749000</v>
      </c>
      <c r="G16" s="87">
        <v>72.377477715016283</v>
      </c>
      <c r="H16" s="1" t="s">
        <v>151</v>
      </c>
      <c r="I16" s="58">
        <v>10</v>
      </c>
      <c r="J16" s="87">
        <v>66.070532483275329</v>
      </c>
      <c r="K16" s="87">
        <v>72.554143111309997</v>
      </c>
      <c r="L16" s="87">
        <v>82.045568313405795</v>
      </c>
      <c r="M16" s="87">
        <v>68.83966695207404</v>
      </c>
      <c r="N16" s="58">
        <v>10</v>
      </c>
      <c r="O16" s="58">
        <v>2</v>
      </c>
      <c r="P16" s="58">
        <v>20</v>
      </c>
      <c r="Q16" s="58">
        <v>22</v>
      </c>
      <c r="R16" s="58">
        <v>78.426781711683702</v>
      </c>
      <c r="S16" s="58">
        <v>49.805448103456115</v>
      </c>
      <c r="T16" s="58">
        <v>69.979367634686156</v>
      </c>
      <c r="U16" s="58">
        <v>74.311553643947718</v>
      </c>
      <c r="V16" s="58">
        <v>60.497274540817749</v>
      </c>
      <c r="W16" s="58">
        <v>82.853601149164518</v>
      </c>
      <c r="X16" s="58">
        <v>88.497555018055422</v>
      </c>
      <c r="Y16" s="58">
        <v>71.440573571502256</v>
      </c>
      <c r="Z16" s="58">
        <v>86.198576350659735</v>
      </c>
      <c r="AA16" s="58">
        <v>59.474208142523345</v>
      </c>
      <c r="AB16" s="58">
        <v>68.301938931248841</v>
      </c>
      <c r="AC16" s="58">
        <v>78.742853782449941</v>
      </c>
      <c r="AD16" s="58">
        <v>29</v>
      </c>
      <c r="AE16" s="58">
        <v>17</v>
      </c>
      <c r="AF16" s="58">
        <v>4</v>
      </c>
      <c r="AG16" s="58">
        <v>4</v>
      </c>
      <c r="AH16" s="58">
        <v>10</v>
      </c>
      <c r="AI16" s="58">
        <v>1</v>
      </c>
      <c r="AJ16" s="58">
        <v>13</v>
      </c>
      <c r="AK16" s="58">
        <v>38</v>
      </c>
      <c r="AL16" s="58">
        <v>7</v>
      </c>
      <c r="AM16" s="58">
        <v>12</v>
      </c>
      <c r="AN16" s="58">
        <v>56</v>
      </c>
      <c r="AO16" s="58">
        <v>31</v>
      </c>
      <c r="AP16" s="58">
        <v>65.376364307804195</v>
      </c>
      <c r="AQ16" s="58">
        <v>67.924800814753226</v>
      </c>
      <c r="AR16" s="58">
        <v>58.281702815430336</v>
      </c>
      <c r="AS16" s="58">
        <v>99.473684210526343</v>
      </c>
      <c r="AT16" s="58">
        <v>79.504138121588099</v>
      </c>
      <c r="AU16" s="58">
        <v>100</v>
      </c>
      <c r="AV16" s="58">
        <v>57.036315138863358</v>
      </c>
      <c r="AW16" s="58">
        <v>8.696617629028907</v>
      </c>
      <c r="AX16" s="58">
        <v>74.744797854948729</v>
      </c>
      <c r="AY16" s="58">
        <v>58.74406179098348</v>
      </c>
      <c r="AZ16" s="58">
        <v>100</v>
      </c>
      <c r="BA16" s="58">
        <v>59.5</v>
      </c>
      <c r="BB16" s="58">
        <v>100</v>
      </c>
      <c r="BC16" s="58">
        <v>20.417470538744624</v>
      </c>
      <c r="BD16" s="58">
        <v>45.406592732974985</v>
      </c>
      <c r="BE16" s="58">
        <v>81.714695211243708</v>
      </c>
      <c r="BF16" s="58">
        <v>98.534529597561274</v>
      </c>
      <c r="BG16" s="58">
        <v>98.155230769230769</v>
      </c>
      <c r="BH16" s="58">
        <v>47.74671990872789</v>
      </c>
      <c r="BI16" s="58">
        <v>69.13594841971728</v>
      </c>
      <c r="BJ16" s="58">
        <v>74.451266197144477</v>
      </c>
      <c r="BK16" s="58">
        <v>61.197161893983733</v>
      </c>
      <c r="BL16" s="58">
        <v>37.204721652425491</v>
      </c>
      <c r="BM16" s="58">
        <v>100</v>
      </c>
      <c r="BN16" s="58">
        <v>86.129230745507854</v>
      </c>
      <c r="BO16" s="58">
        <v>67.159568529380095</v>
      </c>
      <c r="BP16" s="58">
        <v>78.125605321770081</v>
      </c>
      <c r="BQ16" s="58">
        <v>75.581933398454197</v>
      </c>
      <c r="BR16" s="58">
        <v>100</v>
      </c>
      <c r="BS16" s="58" t="s">
        <v>920</v>
      </c>
      <c r="BT16" s="58">
        <v>89.910731655712055</v>
      </c>
      <c r="BU16" s="58">
        <v>70.319096248363209</v>
      </c>
      <c r="BV16" s="58">
        <v>55.937499999724608</v>
      </c>
      <c r="BW16" s="58">
        <v>64.376383596150959</v>
      </c>
      <c r="BX16" s="58">
        <v>100</v>
      </c>
      <c r="BY16" s="58">
        <v>66.569888013272504</v>
      </c>
      <c r="BZ16" s="58">
        <v>97.101142615319517</v>
      </c>
      <c r="CA16" s="58">
        <v>92.497877659078867</v>
      </c>
      <c r="CB16" s="58">
        <v>68.996708777580807</v>
      </c>
      <c r="CC16" s="58" t="s">
        <v>920</v>
      </c>
      <c r="CD16" s="58">
        <v>100</v>
      </c>
      <c r="CE16" s="58">
        <v>76.874065176858693</v>
      </c>
      <c r="CF16" s="58">
        <v>47.878246543175209</v>
      </c>
      <c r="CG16" s="58">
        <v>13.144520850059468</v>
      </c>
      <c r="CH16" s="58">
        <v>62.064343163538879</v>
      </c>
      <c r="CI16" s="58">
        <v>56.510416666666671</v>
      </c>
      <c r="CJ16" s="58">
        <v>76.785714285714292</v>
      </c>
      <c r="CK16" s="58">
        <v>95.876399641367627</v>
      </c>
      <c r="CL16" s="58">
        <v>100</v>
      </c>
      <c r="CM16" s="58">
        <v>77.020409393900906</v>
      </c>
      <c r="CN16" s="58">
        <v>82.727272727272734</v>
      </c>
      <c r="CO16" s="58">
        <v>63.832077502691057</v>
      </c>
      <c r="CP16" s="58">
        <v>82.783311011870225</v>
      </c>
      <c r="CQ16" s="58">
        <v>67</v>
      </c>
      <c r="CR16" s="58">
        <v>59</v>
      </c>
      <c r="CS16" s="58">
        <v>14</v>
      </c>
      <c r="CT16" s="58">
        <v>29</v>
      </c>
      <c r="CU16" s="58">
        <v>25</v>
      </c>
      <c r="CV16" s="58">
        <v>1</v>
      </c>
      <c r="CW16" s="58">
        <v>19</v>
      </c>
      <c r="CX16" s="58">
        <v>48</v>
      </c>
      <c r="CY16" s="58">
        <v>15</v>
      </c>
      <c r="CZ16" s="58">
        <v>12</v>
      </c>
      <c r="DA16" s="58">
        <v>1</v>
      </c>
      <c r="DB16" s="58">
        <v>34</v>
      </c>
      <c r="DC16" s="58">
        <v>1</v>
      </c>
      <c r="DD16" s="58">
        <v>51</v>
      </c>
      <c r="DE16" s="58">
        <v>16</v>
      </c>
      <c r="DF16" s="58">
        <v>10</v>
      </c>
      <c r="DG16" s="58">
        <v>3</v>
      </c>
      <c r="DH16" s="58">
        <v>22</v>
      </c>
      <c r="DI16" s="58">
        <v>10</v>
      </c>
      <c r="DJ16" s="58">
        <v>38</v>
      </c>
      <c r="DK16" s="58">
        <v>6</v>
      </c>
      <c r="DL16" s="58">
        <v>14</v>
      </c>
      <c r="DM16" s="58">
        <v>17</v>
      </c>
      <c r="DN16" s="58">
        <v>1</v>
      </c>
      <c r="DO16" s="58">
        <v>2</v>
      </c>
      <c r="DP16" s="58">
        <v>21</v>
      </c>
      <c r="DQ16" s="58">
        <v>2</v>
      </c>
      <c r="DR16" s="58">
        <v>44</v>
      </c>
      <c r="DS16" s="58">
        <v>1</v>
      </c>
      <c r="DT16" s="58" t="s">
        <v>920</v>
      </c>
      <c r="DU16" s="58">
        <v>4</v>
      </c>
      <c r="DV16" s="58">
        <v>26</v>
      </c>
      <c r="DW16" s="58">
        <v>85</v>
      </c>
      <c r="DX16" s="58">
        <v>32</v>
      </c>
      <c r="DY16" s="58">
        <v>1</v>
      </c>
      <c r="DZ16" s="58">
        <v>55</v>
      </c>
      <c r="EA16" s="58">
        <v>4</v>
      </c>
      <c r="EB16" s="58">
        <v>25</v>
      </c>
      <c r="EC16" s="58">
        <v>23</v>
      </c>
      <c r="ED16" s="58" t="s">
        <v>920</v>
      </c>
      <c r="EE16" s="58">
        <v>1</v>
      </c>
      <c r="EF16" s="58">
        <v>14</v>
      </c>
      <c r="EG16" s="58">
        <v>51</v>
      </c>
      <c r="EH16" s="58">
        <v>64</v>
      </c>
      <c r="EI16" s="58">
        <v>56</v>
      </c>
      <c r="EJ16" s="58">
        <v>95</v>
      </c>
      <c r="EK16" s="58">
        <v>40</v>
      </c>
      <c r="EL16" s="58">
        <v>3</v>
      </c>
      <c r="EM16" s="58">
        <v>1</v>
      </c>
      <c r="EN16" s="58">
        <v>4</v>
      </c>
      <c r="EO16" s="58">
        <v>51</v>
      </c>
      <c r="EP16" s="58">
        <v>93</v>
      </c>
      <c r="EQ16" s="58">
        <v>29</v>
      </c>
    </row>
    <row r="17" spans="1:147" x14ac:dyDescent="0.45">
      <c r="A17" t="s">
        <v>52</v>
      </c>
      <c r="B17" s="59" t="s">
        <v>298</v>
      </c>
      <c r="C17" s="37" t="s">
        <v>31</v>
      </c>
      <c r="D17" s="37" t="s">
        <v>880</v>
      </c>
      <c r="E17" s="104">
        <v>54815.317000000003</v>
      </c>
      <c r="F17" s="104">
        <v>124371000</v>
      </c>
      <c r="G17" s="87">
        <v>70.215050035707335</v>
      </c>
      <c r="H17" s="1" t="s">
        <v>155</v>
      </c>
      <c r="I17" s="58">
        <v>11</v>
      </c>
      <c r="J17" s="87">
        <v>61.28002194890513</v>
      </c>
      <c r="K17" s="87">
        <v>66.869787868700953</v>
      </c>
      <c r="L17" s="87">
        <v>80.578829678586558</v>
      </c>
      <c r="M17" s="87">
        <v>72.131560646636743</v>
      </c>
      <c r="N17" s="58">
        <v>16</v>
      </c>
      <c r="O17" s="58">
        <v>8</v>
      </c>
      <c r="P17" s="58">
        <v>24</v>
      </c>
      <c r="Q17" s="58">
        <v>15</v>
      </c>
      <c r="R17" s="58">
        <v>83.203017944351046</v>
      </c>
      <c r="S17" s="58">
        <v>37.757632028160288</v>
      </c>
      <c r="T17" s="58">
        <v>62.879415874204071</v>
      </c>
      <c r="U17" s="58">
        <v>72.68100053572023</v>
      </c>
      <c r="V17" s="58">
        <v>61.777499325851387</v>
      </c>
      <c r="W17" s="58">
        <v>66.150863744531222</v>
      </c>
      <c r="X17" s="58">
        <v>80.392665261778802</v>
      </c>
      <c r="Y17" s="58">
        <v>78.061123425133232</v>
      </c>
      <c r="Z17" s="58">
        <v>83.282700348847627</v>
      </c>
      <c r="AA17" s="58">
        <v>63.153139325188945</v>
      </c>
      <c r="AB17" s="58">
        <v>72.862802725314324</v>
      </c>
      <c r="AC17" s="58">
        <v>80.378739889406987</v>
      </c>
      <c r="AD17" s="58">
        <v>10</v>
      </c>
      <c r="AE17" s="58">
        <v>41</v>
      </c>
      <c r="AF17" s="58">
        <v>11</v>
      </c>
      <c r="AG17" s="58">
        <v>6</v>
      </c>
      <c r="AH17" s="58">
        <v>9</v>
      </c>
      <c r="AI17" s="58">
        <v>15</v>
      </c>
      <c r="AJ17" s="58">
        <v>33</v>
      </c>
      <c r="AK17" s="58">
        <v>25</v>
      </c>
      <c r="AL17" s="58">
        <v>15</v>
      </c>
      <c r="AM17" s="58">
        <v>11</v>
      </c>
      <c r="AN17" s="58">
        <v>42</v>
      </c>
      <c r="AO17" s="58">
        <v>26</v>
      </c>
      <c r="AP17" s="58">
        <v>76.767733246467301</v>
      </c>
      <c r="AQ17" s="58">
        <v>96.347680047341953</v>
      </c>
      <c r="AR17" s="58">
        <v>66.023585777678662</v>
      </c>
      <c r="AS17" s="58">
        <v>99.473684210526343</v>
      </c>
      <c r="AT17" s="58">
        <v>77.402406439740986</v>
      </c>
      <c r="AU17" s="58" t="s">
        <v>920</v>
      </c>
      <c r="AV17" s="58">
        <v>25.631816406453289</v>
      </c>
      <c r="AW17" s="58">
        <v>12.703453788524602</v>
      </c>
      <c r="AX17" s="58">
        <v>70.84150901903476</v>
      </c>
      <c r="AY17" s="58">
        <v>41.853748898628488</v>
      </c>
      <c r="AZ17" s="58">
        <v>91.425590482796522</v>
      </c>
      <c r="BA17" s="58">
        <v>80</v>
      </c>
      <c r="BB17" s="58">
        <v>54.45148472000254</v>
      </c>
      <c r="BC17" s="58">
        <v>25.640588294017231</v>
      </c>
      <c r="BD17" s="58">
        <v>58.074244818250698</v>
      </c>
      <c r="BE17" s="58">
        <v>79.504381447838995</v>
      </c>
      <c r="BF17" s="58">
        <v>80.464375341071019</v>
      </c>
      <c r="BG17" s="58" t="s">
        <v>920</v>
      </c>
      <c r="BH17" s="58" t="s">
        <v>920</v>
      </c>
      <c r="BI17" s="58" t="s">
        <v>920</v>
      </c>
      <c r="BJ17" s="58">
        <v>47.685911453021859</v>
      </c>
      <c r="BK17" s="58">
        <v>76.50260662616158</v>
      </c>
      <c r="BL17" s="58">
        <v>61.143979898370723</v>
      </c>
      <c r="BM17" s="58">
        <v>93.111247458524332</v>
      </c>
      <c r="BN17" s="58" t="s">
        <v>920</v>
      </c>
      <c r="BO17" s="58">
        <v>51.152899709866297</v>
      </c>
      <c r="BP17" s="58">
        <v>54.188444065203043</v>
      </c>
      <c r="BQ17" s="58">
        <v>83.782486176009442</v>
      </c>
      <c r="BR17" s="58">
        <v>97.08410612120781</v>
      </c>
      <c r="BS17" s="58" t="s">
        <v>920</v>
      </c>
      <c r="BT17" s="58">
        <v>60.31140348811914</v>
      </c>
      <c r="BU17" s="58">
        <v>78.997701827804207</v>
      </c>
      <c r="BV17" s="58">
        <v>52.187499999701167</v>
      </c>
      <c r="BW17" s="58">
        <v>72.828420275348677</v>
      </c>
      <c r="BX17" s="58">
        <v>100</v>
      </c>
      <c r="BY17" s="58">
        <v>86.291995022812102</v>
      </c>
      <c r="BZ17" s="58">
        <v>98.550571307659752</v>
      </c>
      <c r="CA17" s="58">
        <v>95.631653303506894</v>
      </c>
      <c r="CB17" s="58">
        <v>55.665876435376205</v>
      </c>
      <c r="CC17" s="58" t="s">
        <v>920</v>
      </c>
      <c r="CD17" s="58">
        <v>100</v>
      </c>
      <c r="CE17" s="58">
        <v>83.550200116186076</v>
      </c>
      <c r="CF17" s="58">
        <v>60.77225829054057</v>
      </c>
      <c r="CG17" s="58">
        <v>8.2900988940291089</v>
      </c>
      <c r="CH17" s="58">
        <v>64.49955317247543</v>
      </c>
      <c r="CI17" s="58">
        <v>65.364583333333343</v>
      </c>
      <c r="CJ17" s="58">
        <v>78.316326530612258</v>
      </c>
      <c r="CK17" s="58">
        <v>99.132216809656143</v>
      </c>
      <c r="CL17" s="58">
        <v>100</v>
      </c>
      <c r="CM17" s="58">
        <v>80.818748025900589</v>
      </c>
      <c r="CN17" s="58">
        <v>69.090909090909093</v>
      </c>
      <c r="CO17" s="58">
        <v>78.256189451022607</v>
      </c>
      <c r="CP17" s="58">
        <v>86.698225979591243</v>
      </c>
      <c r="CQ17" s="58">
        <v>45</v>
      </c>
      <c r="CR17" s="58">
        <v>13</v>
      </c>
      <c r="CS17" s="58">
        <v>8</v>
      </c>
      <c r="CT17" s="58">
        <v>29</v>
      </c>
      <c r="CU17" s="58">
        <v>31</v>
      </c>
      <c r="CV17" s="58" t="s">
        <v>920</v>
      </c>
      <c r="CW17" s="58">
        <v>38</v>
      </c>
      <c r="CX17" s="58">
        <v>41</v>
      </c>
      <c r="CY17" s="58">
        <v>32</v>
      </c>
      <c r="CZ17" s="58">
        <v>18</v>
      </c>
      <c r="DA17" s="58">
        <v>10</v>
      </c>
      <c r="DB17" s="58">
        <v>9</v>
      </c>
      <c r="DC17" s="58">
        <v>5</v>
      </c>
      <c r="DD17" s="58">
        <v>36</v>
      </c>
      <c r="DE17" s="58">
        <v>7</v>
      </c>
      <c r="DF17" s="58">
        <v>14</v>
      </c>
      <c r="DG17" s="58">
        <v>27</v>
      </c>
      <c r="DH17" s="58" t="s">
        <v>920</v>
      </c>
      <c r="DI17" s="58" t="s">
        <v>920</v>
      </c>
      <c r="DJ17" s="58" t="s">
        <v>920</v>
      </c>
      <c r="DK17" s="58">
        <v>12</v>
      </c>
      <c r="DL17" s="58">
        <v>4</v>
      </c>
      <c r="DM17" s="58">
        <v>5</v>
      </c>
      <c r="DN17" s="58">
        <v>9</v>
      </c>
      <c r="DO17" s="58" t="s">
        <v>920</v>
      </c>
      <c r="DP17" s="58">
        <v>34</v>
      </c>
      <c r="DQ17" s="58">
        <v>5</v>
      </c>
      <c r="DR17" s="58">
        <v>29</v>
      </c>
      <c r="DS17" s="58">
        <v>34</v>
      </c>
      <c r="DT17" s="58" t="s">
        <v>920</v>
      </c>
      <c r="DU17" s="58">
        <v>33</v>
      </c>
      <c r="DV17" s="58">
        <v>15</v>
      </c>
      <c r="DW17" s="58">
        <v>94</v>
      </c>
      <c r="DX17" s="58">
        <v>26</v>
      </c>
      <c r="DY17" s="58">
        <v>1</v>
      </c>
      <c r="DZ17" s="58">
        <v>19</v>
      </c>
      <c r="EA17" s="58">
        <v>2</v>
      </c>
      <c r="EB17" s="58">
        <v>19</v>
      </c>
      <c r="EC17" s="58">
        <v>84</v>
      </c>
      <c r="ED17" s="58" t="s">
        <v>920</v>
      </c>
      <c r="EE17" s="58">
        <v>1</v>
      </c>
      <c r="EF17" s="58">
        <v>5</v>
      </c>
      <c r="EG17" s="58">
        <v>35</v>
      </c>
      <c r="EH17" s="58">
        <v>80</v>
      </c>
      <c r="EI17" s="58">
        <v>53</v>
      </c>
      <c r="EJ17" s="58">
        <v>79</v>
      </c>
      <c r="EK17" s="58">
        <v>36</v>
      </c>
      <c r="EL17" s="58">
        <v>2</v>
      </c>
      <c r="EM17" s="58">
        <v>1</v>
      </c>
      <c r="EN17" s="58">
        <v>3</v>
      </c>
      <c r="EO17" s="58">
        <v>91</v>
      </c>
      <c r="EP17" s="58">
        <v>54</v>
      </c>
      <c r="EQ17" s="58">
        <v>22</v>
      </c>
    </row>
    <row r="18" spans="1:147" x14ac:dyDescent="0.45">
      <c r="A18" t="s">
        <v>35</v>
      </c>
      <c r="B18" s="59" t="s">
        <v>296</v>
      </c>
      <c r="C18" s="37" t="s">
        <v>37</v>
      </c>
      <c r="D18" s="37" t="s">
        <v>880</v>
      </c>
      <c r="E18" s="104">
        <v>65500.245000000003</v>
      </c>
      <c r="F18" s="104">
        <v>39299000</v>
      </c>
      <c r="G18" s="87">
        <v>70.105260361783081</v>
      </c>
      <c r="H18" s="1" t="s">
        <v>150</v>
      </c>
      <c r="I18" s="58">
        <v>12</v>
      </c>
      <c r="J18" s="87">
        <v>65.57102674330703</v>
      </c>
      <c r="K18" s="87">
        <v>61.370767186748104</v>
      </c>
      <c r="L18" s="87">
        <v>82.960557041962474</v>
      </c>
      <c r="M18" s="87">
        <v>70.518690475114752</v>
      </c>
      <c r="N18" s="58">
        <v>11</v>
      </c>
      <c r="O18" s="58">
        <v>12</v>
      </c>
      <c r="P18" s="58">
        <v>18</v>
      </c>
      <c r="Q18" s="58">
        <v>19</v>
      </c>
      <c r="R18" s="58">
        <v>77.864503448620582</v>
      </c>
      <c r="S18" s="58">
        <v>59.893970827549055</v>
      </c>
      <c r="T18" s="58">
        <v>58.954605953751432</v>
      </c>
      <c r="U18" s="58">
        <v>56.499142712450492</v>
      </c>
      <c r="V18" s="58">
        <v>62.553293943406601</v>
      </c>
      <c r="W18" s="58">
        <v>65.059864904387211</v>
      </c>
      <c r="X18" s="58">
        <v>85.946601569647797</v>
      </c>
      <c r="Y18" s="58">
        <v>78.577344269464589</v>
      </c>
      <c r="Z18" s="58">
        <v>84.357725286775022</v>
      </c>
      <c r="AA18" s="58">
        <v>53.225126911244018</v>
      </c>
      <c r="AB18" s="58">
        <v>79.091585141170057</v>
      </c>
      <c r="AC18" s="58">
        <v>79.239359372930195</v>
      </c>
      <c r="AD18" s="58">
        <v>30</v>
      </c>
      <c r="AE18" s="58">
        <v>7</v>
      </c>
      <c r="AF18" s="58">
        <v>14</v>
      </c>
      <c r="AG18" s="58">
        <v>40</v>
      </c>
      <c r="AH18" s="58">
        <v>7</v>
      </c>
      <c r="AI18" s="58">
        <v>16</v>
      </c>
      <c r="AJ18" s="58">
        <v>18</v>
      </c>
      <c r="AK18" s="58">
        <v>23</v>
      </c>
      <c r="AL18" s="58">
        <v>10</v>
      </c>
      <c r="AM18" s="58">
        <v>18</v>
      </c>
      <c r="AN18" s="58">
        <v>24</v>
      </c>
      <c r="AO18" s="58">
        <v>28</v>
      </c>
      <c r="AP18" s="58">
        <v>75.557289207516305</v>
      </c>
      <c r="AQ18" s="58">
        <v>94.685057052701396</v>
      </c>
      <c r="AR18" s="58">
        <v>44.031639089375666</v>
      </c>
      <c r="AS18" s="58">
        <v>98.421052631578959</v>
      </c>
      <c r="AT18" s="58">
        <v>76.627479261930603</v>
      </c>
      <c r="AU18" s="58" t="s">
        <v>920</v>
      </c>
      <c r="AV18" s="58">
        <v>69.566529888317348</v>
      </c>
      <c r="AW18" s="58">
        <v>61.669480205946215</v>
      </c>
      <c r="AX18" s="58">
        <v>69.682583889175461</v>
      </c>
      <c r="AY18" s="58">
        <v>38.657289326757166</v>
      </c>
      <c r="AZ18" s="58">
        <v>88.54072844520671</v>
      </c>
      <c r="BA18" s="58">
        <v>68.250000000000014</v>
      </c>
      <c r="BB18" s="58">
        <v>29.367001801389396</v>
      </c>
      <c r="BC18" s="58">
        <v>49.660693568409606</v>
      </c>
      <c r="BD18" s="58">
        <v>25.263579264924864</v>
      </c>
      <c r="BE18" s="58">
        <v>76.833061495518294</v>
      </c>
      <c r="BF18" s="58">
        <v>83.968384168081002</v>
      </c>
      <c r="BG18" s="58" t="s">
        <v>920</v>
      </c>
      <c r="BH18" s="58">
        <v>39.931545921277809</v>
      </c>
      <c r="BI18" s="58">
        <v>92.870881057068416</v>
      </c>
      <c r="BJ18" s="58">
        <v>34.923435287100759</v>
      </c>
      <c r="BK18" s="58">
        <v>68.141081319027819</v>
      </c>
      <c r="BL18" s="58">
        <v>54.277778110429423</v>
      </c>
      <c r="BM18" s="58">
        <v>82.574800591908186</v>
      </c>
      <c r="BN18" s="58">
        <v>70.11623101125835</v>
      </c>
      <c r="BO18" s="58">
        <v>79.390744259282883</v>
      </c>
      <c r="BP18" s="58">
        <v>28.157683755099409</v>
      </c>
      <c r="BQ18" s="58">
        <v>85.291719512032131</v>
      </c>
      <c r="BR18" s="58">
        <v>91.803401541300374</v>
      </c>
      <c r="BS18" s="58" t="s">
        <v>920</v>
      </c>
      <c r="BT18" s="58">
        <v>80.744683655610913</v>
      </c>
      <c r="BU18" s="58">
        <v>83.386632583784802</v>
      </c>
      <c r="BV18" s="58">
        <v>76.562499999853515</v>
      </c>
      <c r="BW18" s="58">
        <v>79.05952986696127</v>
      </c>
      <c r="BX18" s="58">
        <v>100</v>
      </c>
      <c r="BY18" s="58">
        <v>53.878058896723346</v>
      </c>
      <c r="BZ18" s="58">
        <v>91.303427845958524</v>
      </c>
      <c r="CA18" s="58">
        <v>95.813159069841376</v>
      </c>
      <c r="CB18" s="58">
        <v>65.956588944525194</v>
      </c>
      <c r="CC18" s="58" t="s">
        <v>920</v>
      </c>
      <c r="CD18" s="58">
        <v>48.468305182610138</v>
      </c>
      <c r="CE18" s="58">
        <v>74.65972740867123</v>
      </c>
      <c r="CF18" s="58">
        <v>72.916673242077167</v>
      </c>
      <c r="CG18" s="58">
        <v>16.855801811617528</v>
      </c>
      <c r="CH18" s="58">
        <v>79.155495978552281</v>
      </c>
      <c r="CI18" s="58">
        <v>74.088541666666657</v>
      </c>
      <c r="CJ18" s="58">
        <v>81.377551020408163</v>
      </c>
      <c r="CK18" s="58">
        <v>86.68388453617429</v>
      </c>
      <c r="CL18" s="58">
        <v>100</v>
      </c>
      <c r="CM18" s="58">
        <v>69.922293951108955</v>
      </c>
      <c r="CN18" s="58">
        <v>100</v>
      </c>
      <c r="CO18" s="58">
        <v>48.977395048439178</v>
      </c>
      <c r="CP18" s="58">
        <v>96.11549698434537</v>
      </c>
      <c r="CQ18" s="58">
        <v>49</v>
      </c>
      <c r="CR18" s="58">
        <v>20</v>
      </c>
      <c r="CS18" s="58">
        <v>34</v>
      </c>
      <c r="CT18" s="58">
        <v>48</v>
      </c>
      <c r="CU18" s="58">
        <v>37</v>
      </c>
      <c r="CV18" s="58" t="s">
        <v>920</v>
      </c>
      <c r="CW18" s="58">
        <v>11</v>
      </c>
      <c r="CX18" s="58">
        <v>12</v>
      </c>
      <c r="CY18" s="58">
        <v>42</v>
      </c>
      <c r="CZ18" s="58">
        <v>20</v>
      </c>
      <c r="DA18" s="58">
        <v>12</v>
      </c>
      <c r="DB18" s="58">
        <v>20</v>
      </c>
      <c r="DC18" s="58">
        <v>14</v>
      </c>
      <c r="DD18" s="58">
        <v>7</v>
      </c>
      <c r="DE18" s="58">
        <v>42</v>
      </c>
      <c r="DF18" s="58">
        <v>19</v>
      </c>
      <c r="DG18" s="58">
        <v>13</v>
      </c>
      <c r="DH18" s="58" t="s">
        <v>920</v>
      </c>
      <c r="DI18" s="58">
        <v>13</v>
      </c>
      <c r="DJ18" s="58">
        <v>7</v>
      </c>
      <c r="DK18" s="58">
        <v>19</v>
      </c>
      <c r="DL18" s="58">
        <v>8</v>
      </c>
      <c r="DM18" s="58">
        <v>7</v>
      </c>
      <c r="DN18" s="58">
        <v>34</v>
      </c>
      <c r="DO18" s="58">
        <v>10</v>
      </c>
      <c r="DP18" s="58">
        <v>12</v>
      </c>
      <c r="DQ18" s="58">
        <v>22</v>
      </c>
      <c r="DR18" s="58">
        <v>26</v>
      </c>
      <c r="DS18" s="58">
        <v>55</v>
      </c>
      <c r="DT18" s="58" t="s">
        <v>920</v>
      </c>
      <c r="DU18" s="58">
        <v>14</v>
      </c>
      <c r="DV18" s="58">
        <v>11</v>
      </c>
      <c r="DW18" s="58">
        <v>54</v>
      </c>
      <c r="DX18" s="58">
        <v>16</v>
      </c>
      <c r="DY18" s="58">
        <v>1</v>
      </c>
      <c r="DZ18" s="58">
        <v>82</v>
      </c>
      <c r="EA18" s="58">
        <v>15</v>
      </c>
      <c r="EB18" s="58">
        <v>17</v>
      </c>
      <c r="EC18" s="58">
        <v>49</v>
      </c>
      <c r="ED18" s="58" t="s">
        <v>920</v>
      </c>
      <c r="EE18" s="58">
        <v>15</v>
      </c>
      <c r="EF18" s="58">
        <v>16</v>
      </c>
      <c r="EG18" s="58">
        <v>19</v>
      </c>
      <c r="EH18" s="58">
        <v>54</v>
      </c>
      <c r="EI18" s="58">
        <v>18</v>
      </c>
      <c r="EJ18" s="58">
        <v>59</v>
      </c>
      <c r="EK18" s="58">
        <v>29</v>
      </c>
      <c r="EL18" s="58">
        <v>23</v>
      </c>
      <c r="EM18" s="58">
        <v>1</v>
      </c>
      <c r="EN18" s="58">
        <v>7</v>
      </c>
      <c r="EO18" s="58">
        <v>1</v>
      </c>
      <c r="EP18" s="58">
        <v>110</v>
      </c>
      <c r="EQ18" s="58">
        <v>7</v>
      </c>
    </row>
    <row r="19" spans="1:147" x14ac:dyDescent="0.45">
      <c r="A19" t="s">
        <v>57</v>
      </c>
      <c r="B19" s="59" t="s">
        <v>307</v>
      </c>
      <c r="C19" s="37" t="s">
        <v>10</v>
      </c>
      <c r="D19" s="37" t="s">
        <v>880</v>
      </c>
      <c r="E19" s="104">
        <v>49087.453000000001</v>
      </c>
      <c r="F19" s="104">
        <v>1367000</v>
      </c>
      <c r="G19" s="87">
        <v>69.9478924349241</v>
      </c>
      <c r="H19" s="1" t="s">
        <v>160</v>
      </c>
      <c r="I19" s="58">
        <v>13</v>
      </c>
      <c r="J19" s="87">
        <v>54.151359737196252</v>
      </c>
      <c r="K19" s="87">
        <v>66.909067417589441</v>
      </c>
      <c r="L19" s="87">
        <v>88.053135680633105</v>
      </c>
      <c r="M19" s="87">
        <v>70.678006904277595</v>
      </c>
      <c r="N19" s="58">
        <v>32</v>
      </c>
      <c r="O19" s="58">
        <v>7</v>
      </c>
      <c r="P19" s="58">
        <v>5</v>
      </c>
      <c r="Q19" s="58">
        <v>17</v>
      </c>
      <c r="R19" s="58">
        <v>76.656223154415173</v>
      </c>
      <c r="S19" s="58">
        <v>48.103460562828886</v>
      </c>
      <c r="T19" s="58">
        <v>37.69439549434469</v>
      </c>
      <c r="U19" s="58">
        <v>62.614977526871158</v>
      </c>
      <c r="V19" s="58">
        <v>70.204351889889708</v>
      </c>
      <c r="W19" s="58">
        <v>67.907872836007485</v>
      </c>
      <c r="X19" s="58">
        <v>89.428772669527916</v>
      </c>
      <c r="Y19" s="58">
        <v>86.896617012919108</v>
      </c>
      <c r="Z19" s="58">
        <v>87.834017359452289</v>
      </c>
      <c r="AA19" s="58">
        <v>50.652157506283828</v>
      </c>
      <c r="AB19" s="58">
        <v>78.501663997957735</v>
      </c>
      <c r="AC19" s="58">
        <v>82.880199208591208</v>
      </c>
      <c r="AD19" s="58">
        <v>37</v>
      </c>
      <c r="AE19" s="58">
        <v>18</v>
      </c>
      <c r="AF19" s="58">
        <v>52</v>
      </c>
      <c r="AG19" s="58">
        <v>21</v>
      </c>
      <c r="AH19" s="58">
        <v>4</v>
      </c>
      <c r="AI19" s="58">
        <v>9</v>
      </c>
      <c r="AJ19" s="58">
        <v>10</v>
      </c>
      <c r="AK19" s="58">
        <v>10</v>
      </c>
      <c r="AL19" s="58">
        <v>3</v>
      </c>
      <c r="AM19" s="58">
        <v>21</v>
      </c>
      <c r="AN19" s="58">
        <v>25</v>
      </c>
      <c r="AO19" s="58">
        <v>19</v>
      </c>
      <c r="AP19" s="58">
        <v>90.136041533146297</v>
      </c>
      <c r="AQ19" s="58">
        <v>90.567371100857301</v>
      </c>
      <c r="AR19" s="58">
        <v>17.868109063875018</v>
      </c>
      <c r="AS19" s="58">
        <v>100</v>
      </c>
      <c r="AT19" s="58">
        <v>61.365817228612485</v>
      </c>
      <c r="AU19" s="58">
        <v>100</v>
      </c>
      <c r="AV19" s="58">
        <v>69.613876256918005</v>
      </c>
      <c r="AW19" s="58">
        <v>37.656574363803571</v>
      </c>
      <c r="AX19" s="58">
        <v>83.459747151810731</v>
      </c>
      <c r="AY19" s="58">
        <v>1.6836444787832254</v>
      </c>
      <c r="AZ19" s="58">
        <v>76.827698540601901</v>
      </c>
      <c r="BA19" s="58">
        <v>58.749999999999993</v>
      </c>
      <c r="BB19" s="58">
        <v>6.1255307232076426</v>
      </c>
      <c r="BC19" s="58">
        <v>9.0743527135692297</v>
      </c>
      <c r="BD19" s="58">
        <v>12.176424208754842</v>
      </c>
      <c r="BE19" s="58">
        <v>67.530012822537671</v>
      </c>
      <c r="BF19" s="58">
        <v>80.108916441845139</v>
      </c>
      <c r="BG19" s="58">
        <v>99.808307692307693</v>
      </c>
      <c r="BH19" s="58">
        <v>53.451226468910441</v>
      </c>
      <c r="BI19" s="58">
        <v>76.215846932419083</v>
      </c>
      <c r="BJ19" s="58">
        <v>100</v>
      </c>
      <c r="BK19" s="58">
        <v>34.397208737250054</v>
      </c>
      <c r="BL19" s="58" t="s">
        <v>920</v>
      </c>
      <c r="BM19" s="58">
        <v>99.440574584040135</v>
      </c>
      <c r="BN19" s="58">
        <v>100</v>
      </c>
      <c r="BO19" s="58">
        <v>43.276483148964509</v>
      </c>
      <c r="BP19" s="58">
        <v>28.914433611025313</v>
      </c>
      <c r="BQ19" s="58">
        <v>95.387273153841363</v>
      </c>
      <c r="BR19" s="58">
        <v>94.037135691779582</v>
      </c>
      <c r="BS19" s="58" t="s">
        <v>920</v>
      </c>
      <c r="BT19" s="58">
        <v>78.861909162962803</v>
      </c>
      <c r="BU19" s="58">
        <v>78.004665195885764</v>
      </c>
      <c r="BV19" s="58">
        <v>82.187499999888672</v>
      </c>
      <c r="BW19" s="58">
        <v>81.487104024773075</v>
      </c>
      <c r="BX19" s="58">
        <v>100</v>
      </c>
      <c r="BY19" s="58">
        <v>92.803815844048103</v>
      </c>
      <c r="BZ19" s="58">
        <v>95.651713922979269</v>
      </c>
      <c r="CA19" s="58">
        <v>97.162476382855843</v>
      </c>
      <c r="CB19" s="58">
        <v>70.687861772521757</v>
      </c>
      <c r="CC19" s="58" t="s">
        <v>920</v>
      </c>
      <c r="CD19" s="58">
        <v>10.768904302854359</v>
      </c>
      <c r="CE19" s="58">
        <v>39.029898754679095</v>
      </c>
      <c r="CF19" s="58">
        <v>83.663839766188943</v>
      </c>
      <c r="CG19" s="58">
        <v>69.145987201412908</v>
      </c>
      <c r="CH19" s="58">
        <v>70.531724754244863</v>
      </c>
      <c r="CI19" s="58">
        <v>85.677083333333343</v>
      </c>
      <c r="CJ19" s="58">
        <v>82.397959183673478</v>
      </c>
      <c r="CK19" s="58">
        <v>76.194408628916491</v>
      </c>
      <c r="CL19" s="58">
        <v>97.777777777777771</v>
      </c>
      <c r="CM19" s="58">
        <v>73.74319745042088</v>
      </c>
      <c r="CN19" s="58">
        <v>96.36363636363636</v>
      </c>
      <c r="CO19" s="58">
        <v>73.412271259418731</v>
      </c>
      <c r="CP19" s="58">
        <v>78.225605743999921</v>
      </c>
      <c r="CQ19" s="58">
        <v>11</v>
      </c>
      <c r="CR19" s="58">
        <v>28</v>
      </c>
      <c r="CS19" s="58">
        <v>99</v>
      </c>
      <c r="CT19" s="58">
        <v>1</v>
      </c>
      <c r="CU19" s="58">
        <v>112</v>
      </c>
      <c r="CV19" s="58">
        <v>1</v>
      </c>
      <c r="CW19" s="58">
        <v>10</v>
      </c>
      <c r="CX19" s="58">
        <v>24</v>
      </c>
      <c r="CY19" s="58">
        <v>5</v>
      </c>
      <c r="CZ19" s="58">
        <v>87</v>
      </c>
      <c r="DA19" s="58">
        <v>30</v>
      </c>
      <c r="DB19" s="58">
        <v>35</v>
      </c>
      <c r="DC19" s="58">
        <v>36</v>
      </c>
      <c r="DD19" s="58">
        <v>85</v>
      </c>
      <c r="DE19" s="58">
        <v>72</v>
      </c>
      <c r="DF19" s="58">
        <v>35</v>
      </c>
      <c r="DG19" s="58">
        <v>28</v>
      </c>
      <c r="DH19" s="58">
        <v>7</v>
      </c>
      <c r="DI19" s="58">
        <v>4</v>
      </c>
      <c r="DJ19" s="58">
        <v>34</v>
      </c>
      <c r="DK19" s="58">
        <v>1</v>
      </c>
      <c r="DL19" s="58">
        <v>94</v>
      </c>
      <c r="DM19" s="58" t="s">
        <v>920</v>
      </c>
      <c r="DN19" s="58">
        <v>3</v>
      </c>
      <c r="DO19" s="58">
        <v>1</v>
      </c>
      <c r="DP19" s="58">
        <v>47</v>
      </c>
      <c r="DQ19" s="58">
        <v>20</v>
      </c>
      <c r="DR19" s="58">
        <v>10</v>
      </c>
      <c r="DS19" s="58">
        <v>46</v>
      </c>
      <c r="DT19" s="58" t="s">
        <v>920</v>
      </c>
      <c r="DU19" s="58">
        <v>15</v>
      </c>
      <c r="DV19" s="58">
        <v>17</v>
      </c>
      <c r="DW19" s="58">
        <v>39</v>
      </c>
      <c r="DX19" s="58">
        <v>11</v>
      </c>
      <c r="DY19" s="58">
        <v>1</v>
      </c>
      <c r="DZ19" s="58">
        <v>8</v>
      </c>
      <c r="EA19" s="58">
        <v>7</v>
      </c>
      <c r="EB19" s="58">
        <v>11</v>
      </c>
      <c r="EC19" s="58">
        <v>12</v>
      </c>
      <c r="ED19" s="58" t="s">
        <v>920</v>
      </c>
      <c r="EE19" s="58">
        <v>30</v>
      </c>
      <c r="EF19" s="58">
        <v>104</v>
      </c>
      <c r="EG19" s="58">
        <v>5</v>
      </c>
      <c r="EH19" s="58">
        <v>6</v>
      </c>
      <c r="EI19" s="58">
        <v>36</v>
      </c>
      <c r="EJ19" s="58">
        <v>31</v>
      </c>
      <c r="EK19" s="58">
        <v>27</v>
      </c>
      <c r="EL19" s="58">
        <v>35</v>
      </c>
      <c r="EM19" s="58">
        <v>42</v>
      </c>
      <c r="EN19" s="58">
        <v>6</v>
      </c>
      <c r="EO19" s="58">
        <v>15</v>
      </c>
      <c r="EP19" s="58">
        <v>74</v>
      </c>
      <c r="EQ19" s="58">
        <v>35</v>
      </c>
    </row>
    <row r="20" spans="1:147" x14ac:dyDescent="0.45">
      <c r="A20" t="s">
        <v>17</v>
      </c>
      <c r="B20" s="59" t="s">
        <v>293</v>
      </c>
      <c r="C20" s="37" t="s">
        <v>10</v>
      </c>
      <c r="D20" s="37" t="s">
        <v>880</v>
      </c>
      <c r="E20" s="104">
        <v>106694.122</v>
      </c>
      <c r="F20" s="104">
        <v>5519000</v>
      </c>
      <c r="G20" s="87">
        <v>69.696212320878345</v>
      </c>
      <c r="H20" s="1" t="s">
        <v>148</v>
      </c>
      <c r="I20" s="58">
        <v>14</v>
      </c>
      <c r="J20" s="87">
        <v>59.943008181488032</v>
      </c>
      <c r="K20" s="87">
        <v>54.943257248306473</v>
      </c>
      <c r="L20" s="87">
        <v>89.660562284713805</v>
      </c>
      <c r="M20" s="87">
        <v>74.238021569005042</v>
      </c>
      <c r="N20" s="58">
        <v>18</v>
      </c>
      <c r="O20" s="58">
        <v>23</v>
      </c>
      <c r="P20" s="58">
        <v>2</v>
      </c>
      <c r="Q20" s="58">
        <v>12</v>
      </c>
      <c r="R20" s="58">
        <v>79.805097345993303</v>
      </c>
      <c r="S20" s="58">
        <v>54.361598481913994</v>
      </c>
      <c r="T20" s="58">
        <v>45.662328716556793</v>
      </c>
      <c r="U20" s="58">
        <v>49.330737192911464</v>
      </c>
      <c r="V20" s="58">
        <v>45.953285049790679</v>
      </c>
      <c r="W20" s="58">
        <v>69.545749502217248</v>
      </c>
      <c r="X20" s="58">
        <v>93.599345577402701</v>
      </c>
      <c r="Y20" s="58">
        <v>91.831811302137893</v>
      </c>
      <c r="Z20" s="58">
        <v>83.550529974600792</v>
      </c>
      <c r="AA20" s="58">
        <v>46.43516929409784</v>
      </c>
      <c r="AB20" s="58">
        <v>91.720607265653584</v>
      </c>
      <c r="AC20" s="58">
        <v>84.55828814726371</v>
      </c>
      <c r="AD20" s="58">
        <v>20</v>
      </c>
      <c r="AE20" s="58">
        <v>11</v>
      </c>
      <c r="AF20" s="58">
        <v>34</v>
      </c>
      <c r="AG20" s="58">
        <v>72</v>
      </c>
      <c r="AH20" s="58">
        <v>29</v>
      </c>
      <c r="AI20" s="58">
        <v>7</v>
      </c>
      <c r="AJ20" s="58">
        <v>4</v>
      </c>
      <c r="AK20" s="58">
        <v>2</v>
      </c>
      <c r="AL20" s="58">
        <v>13</v>
      </c>
      <c r="AM20" s="58">
        <v>27</v>
      </c>
      <c r="AN20" s="58">
        <v>3</v>
      </c>
      <c r="AO20" s="58">
        <v>14</v>
      </c>
      <c r="AP20" s="58">
        <v>84.568517021076204</v>
      </c>
      <c r="AQ20" s="58">
        <v>97.608819212330971</v>
      </c>
      <c r="AR20" s="58">
        <v>29.134186222767234</v>
      </c>
      <c r="AS20" s="58">
        <v>99.473684210526343</v>
      </c>
      <c r="AT20" s="58">
        <v>68.045377409259061</v>
      </c>
      <c r="AU20" s="58">
        <v>100</v>
      </c>
      <c r="AV20" s="58">
        <v>80.708659723155847</v>
      </c>
      <c r="AW20" s="58">
        <v>61.695165589034474</v>
      </c>
      <c r="AX20" s="58">
        <v>70.983079670892224</v>
      </c>
      <c r="AY20" s="58">
        <v>4.0594889445734106</v>
      </c>
      <c r="AZ20" s="58" t="s">
        <v>920</v>
      </c>
      <c r="BA20" s="58">
        <v>73.500000000000014</v>
      </c>
      <c r="BB20" s="58">
        <v>15.584747393310769</v>
      </c>
      <c r="BC20" s="58">
        <v>47.902238756359601</v>
      </c>
      <c r="BD20" s="58">
        <v>10.5628068741607</v>
      </c>
      <c r="BE20" s="58">
        <v>78.698400927024096</v>
      </c>
      <c r="BF20" s="58">
        <v>83.304182499268805</v>
      </c>
      <c r="BG20" s="58" t="s">
        <v>920</v>
      </c>
      <c r="BH20" s="58">
        <v>24.757558471192244</v>
      </c>
      <c r="BI20" s="58">
        <v>82.431375580300909</v>
      </c>
      <c r="BJ20" s="58">
        <v>17.865061534143628</v>
      </c>
      <c r="BK20" s="58">
        <v>52.30202641341107</v>
      </c>
      <c r="BL20" s="58">
        <v>31.214676671307117</v>
      </c>
      <c r="BM20" s="58">
        <v>89.379338554637215</v>
      </c>
      <c r="BN20" s="58" t="s">
        <v>920</v>
      </c>
      <c r="BO20" s="58">
        <v>90.119182619013642</v>
      </c>
      <c r="BP20" s="58">
        <v>29.138727333000901</v>
      </c>
      <c r="BQ20" s="58">
        <v>84.381419045777918</v>
      </c>
      <c r="BR20" s="58">
        <v>96.4166176864302</v>
      </c>
      <c r="BS20" s="58" t="s">
        <v>920</v>
      </c>
      <c r="BT20" s="58">
        <v>100</v>
      </c>
      <c r="BU20" s="58">
        <v>82.205796639534086</v>
      </c>
      <c r="BV20" s="58">
        <v>93.437499999958987</v>
      </c>
      <c r="BW20" s="58" t="s">
        <v>920</v>
      </c>
      <c r="BX20" s="58">
        <v>100</v>
      </c>
      <c r="BY20" s="58">
        <v>91.683948569058487</v>
      </c>
      <c r="BZ20" s="58">
        <v>85.505713076597544</v>
      </c>
      <c r="CA20" s="58">
        <v>97.219414955097008</v>
      </c>
      <c r="CB20" s="58">
        <v>67.92646189210781</v>
      </c>
      <c r="CC20" s="58" t="s">
        <v>920</v>
      </c>
      <c r="CD20" s="58">
        <v>28.355438334481676</v>
      </c>
      <c r="CE20" s="58">
        <v>60.340838491926853</v>
      </c>
      <c r="CF20" s="58">
        <v>80.587810135811182</v>
      </c>
      <c r="CG20" s="58">
        <v>16.456590214171662</v>
      </c>
      <c r="CH20" s="58">
        <v>89.410187667560308</v>
      </c>
      <c r="CI20" s="58">
        <v>93.489583333333329</v>
      </c>
      <c r="CJ20" s="58">
        <v>93.112244897959187</v>
      </c>
      <c r="CK20" s="58">
        <v>91.411856694175114</v>
      </c>
      <c r="CL20" s="58">
        <v>100</v>
      </c>
      <c r="CM20" s="58">
        <v>56.690343199124001</v>
      </c>
      <c r="CN20" s="58">
        <v>95.454545454545453</v>
      </c>
      <c r="CO20" s="58">
        <v>86.544671689989229</v>
      </c>
      <c r="CP20" s="58">
        <v>99.08718449079231</v>
      </c>
      <c r="CQ20" s="58">
        <v>27</v>
      </c>
      <c r="CR20" s="58">
        <v>11</v>
      </c>
      <c r="CS20" s="58">
        <v>72</v>
      </c>
      <c r="CT20" s="58">
        <v>29</v>
      </c>
      <c r="CU20" s="58">
        <v>83</v>
      </c>
      <c r="CV20" s="58">
        <v>1</v>
      </c>
      <c r="CW20" s="58">
        <v>6</v>
      </c>
      <c r="CX20" s="58">
        <v>11</v>
      </c>
      <c r="CY20" s="58">
        <v>31</v>
      </c>
      <c r="CZ20" s="58">
        <v>70</v>
      </c>
      <c r="DA20" s="58" t="s">
        <v>920</v>
      </c>
      <c r="DB20" s="58">
        <v>16</v>
      </c>
      <c r="DC20" s="58">
        <v>23</v>
      </c>
      <c r="DD20" s="58">
        <v>11</v>
      </c>
      <c r="DE20" s="58">
        <v>74</v>
      </c>
      <c r="DF20" s="58">
        <v>16</v>
      </c>
      <c r="DG20" s="58">
        <v>16</v>
      </c>
      <c r="DH20" s="58" t="s">
        <v>920</v>
      </c>
      <c r="DI20" s="58">
        <v>29</v>
      </c>
      <c r="DJ20" s="58">
        <v>23</v>
      </c>
      <c r="DK20" s="58">
        <v>31</v>
      </c>
      <c r="DL20" s="58">
        <v>27</v>
      </c>
      <c r="DM20" s="58">
        <v>23</v>
      </c>
      <c r="DN20" s="58">
        <v>18</v>
      </c>
      <c r="DO20" s="58" t="s">
        <v>920</v>
      </c>
      <c r="DP20" s="58">
        <v>5</v>
      </c>
      <c r="DQ20" s="58">
        <v>18</v>
      </c>
      <c r="DR20" s="58">
        <v>28</v>
      </c>
      <c r="DS20" s="58">
        <v>37</v>
      </c>
      <c r="DT20" s="58" t="s">
        <v>920</v>
      </c>
      <c r="DU20" s="58">
        <v>1</v>
      </c>
      <c r="DV20" s="58">
        <v>13</v>
      </c>
      <c r="DW20" s="58">
        <v>10</v>
      </c>
      <c r="DX20" s="58" t="s">
        <v>920</v>
      </c>
      <c r="DY20" s="58">
        <v>1</v>
      </c>
      <c r="DZ20" s="58">
        <v>11</v>
      </c>
      <c r="EA20" s="58">
        <v>22</v>
      </c>
      <c r="EB20" s="58">
        <v>10</v>
      </c>
      <c r="EC20" s="58">
        <v>31</v>
      </c>
      <c r="ED20" s="58" t="s">
        <v>920</v>
      </c>
      <c r="EE20" s="58">
        <v>22</v>
      </c>
      <c r="EF20" s="58">
        <v>47</v>
      </c>
      <c r="EG20" s="58">
        <v>8</v>
      </c>
      <c r="EH20" s="58">
        <v>55</v>
      </c>
      <c r="EI20" s="58">
        <v>7</v>
      </c>
      <c r="EJ20" s="58">
        <v>9</v>
      </c>
      <c r="EK20" s="58">
        <v>8</v>
      </c>
      <c r="EL20" s="58">
        <v>6</v>
      </c>
      <c r="EM20" s="58">
        <v>1</v>
      </c>
      <c r="EN20" s="58">
        <v>33</v>
      </c>
      <c r="EO20" s="58">
        <v>20</v>
      </c>
      <c r="EP20" s="58">
        <v>23</v>
      </c>
      <c r="EQ20" s="58">
        <v>2</v>
      </c>
    </row>
    <row r="21" spans="1:147" x14ac:dyDescent="0.45">
      <c r="A21" t="s">
        <v>55</v>
      </c>
      <c r="B21" s="59" t="s">
        <v>305</v>
      </c>
      <c r="C21" s="37" t="s">
        <v>10</v>
      </c>
      <c r="D21" s="37" t="s">
        <v>880</v>
      </c>
      <c r="E21" s="104">
        <v>147878.19099999999</v>
      </c>
      <c r="F21" s="104">
        <v>5197000</v>
      </c>
      <c r="G21" s="87">
        <v>69.375584226328513</v>
      </c>
      <c r="H21" s="1" t="s">
        <v>158</v>
      </c>
      <c r="I21" s="58">
        <v>15</v>
      </c>
      <c r="J21" s="87">
        <v>58.125035956367775</v>
      </c>
      <c r="K21" s="87">
        <v>52.258375523475735</v>
      </c>
      <c r="L21" s="87">
        <v>84.431485826460232</v>
      </c>
      <c r="M21" s="87">
        <v>82.68743959901029</v>
      </c>
      <c r="N21" s="58">
        <v>24</v>
      </c>
      <c r="O21" s="58">
        <v>30</v>
      </c>
      <c r="P21" s="58">
        <v>14</v>
      </c>
      <c r="Q21" s="58">
        <v>2</v>
      </c>
      <c r="R21" s="58">
        <v>76.257577222210315</v>
      </c>
      <c r="S21" s="58">
        <v>44.761875490247618</v>
      </c>
      <c r="T21" s="58">
        <v>53.355655156645383</v>
      </c>
      <c r="U21" s="58">
        <v>55.357531926407241</v>
      </c>
      <c r="V21" s="58">
        <v>47.892847379534373</v>
      </c>
      <c r="W21" s="58">
        <v>53.524747264485605</v>
      </c>
      <c r="X21" s="58">
        <v>88.632399910764732</v>
      </c>
      <c r="Y21" s="58">
        <v>79.174994981926233</v>
      </c>
      <c r="Z21" s="58">
        <v>85.487062586689731</v>
      </c>
      <c r="AA21" s="58">
        <v>71.433501348394287</v>
      </c>
      <c r="AB21" s="58">
        <v>84.787498190011206</v>
      </c>
      <c r="AC21" s="58">
        <v>91.841319258625361</v>
      </c>
      <c r="AD21" s="58">
        <v>39</v>
      </c>
      <c r="AE21" s="58">
        <v>28</v>
      </c>
      <c r="AF21" s="58">
        <v>21</v>
      </c>
      <c r="AG21" s="58">
        <v>47</v>
      </c>
      <c r="AH21" s="58">
        <v>27</v>
      </c>
      <c r="AI21" s="58">
        <v>29</v>
      </c>
      <c r="AJ21" s="58">
        <v>11</v>
      </c>
      <c r="AK21" s="58">
        <v>21</v>
      </c>
      <c r="AL21" s="58">
        <v>8</v>
      </c>
      <c r="AM21" s="58">
        <v>4</v>
      </c>
      <c r="AN21" s="58">
        <v>10</v>
      </c>
      <c r="AO21" s="58">
        <v>1</v>
      </c>
      <c r="AP21" s="58">
        <v>98.1184971912283</v>
      </c>
      <c r="AQ21" s="58">
        <v>100</v>
      </c>
      <c r="AR21" s="58">
        <v>17.984597165572598</v>
      </c>
      <c r="AS21" s="58">
        <v>99.473684210526343</v>
      </c>
      <c r="AT21" s="58">
        <v>65.71110754372431</v>
      </c>
      <c r="AU21" s="58" t="s">
        <v>920</v>
      </c>
      <c r="AV21" s="58">
        <v>65.659882905237211</v>
      </c>
      <c r="AW21" s="58">
        <v>38.374055717171593</v>
      </c>
      <c r="AX21" s="58">
        <v>72.131090578893122</v>
      </c>
      <c r="AY21" s="58">
        <v>2.8824727596885453</v>
      </c>
      <c r="AZ21" s="58">
        <v>79.090933142842019</v>
      </c>
      <c r="BA21" s="58">
        <v>70.5</v>
      </c>
      <c r="BB21" s="58">
        <v>9.8906852419811084</v>
      </c>
      <c r="BC21" s="58">
        <v>53.941002241758397</v>
      </c>
      <c r="BD21" s="58">
        <v>4.6540530614642819</v>
      </c>
      <c r="BE21" s="58">
        <v>87.088060485659739</v>
      </c>
      <c r="BF21" s="58">
        <v>79.431311363296729</v>
      </c>
      <c r="BG21" s="58" t="s">
        <v>920</v>
      </c>
      <c r="BH21" s="58">
        <v>50.256702795208206</v>
      </c>
      <c r="BI21" s="58">
        <v>94.689649841539762</v>
      </c>
      <c r="BJ21" s="58">
        <v>22.662014964462625</v>
      </c>
      <c r="BK21" s="58">
        <v>48.878353092427744</v>
      </c>
      <c r="BL21" s="58">
        <v>25.34137161970736</v>
      </c>
      <c r="BM21" s="58">
        <v>85.175828009768892</v>
      </c>
      <c r="BN21" s="58">
        <v>68.282797449558402</v>
      </c>
      <c r="BO21" s="58">
        <v>35.761544642790092</v>
      </c>
      <c r="BP21" s="58">
        <v>24.878818955825029</v>
      </c>
      <c r="BQ21" s="58">
        <v>94.321086031873918</v>
      </c>
      <c r="BR21" s="58">
        <v>89.052023319178446</v>
      </c>
      <c r="BS21" s="58" t="s">
        <v>920</v>
      </c>
      <c r="BT21" s="58">
        <v>82.524090381241862</v>
      </c>
      <c r="BU21" s="58">
        <v>86.005545946111695</v>
      </c>
      <c r="BV21" s="58">
        <v>98.124999999988276</v>
      </c>
      <c r="BW21" s="58">
        <v>63.071679067222583</v>
      </c>
      <c r="BX21" s="58">
        <v>100</v>
      </c>
      <c r="BY21" s="58">
        <v>48.672749896308588</v>
      </c>
      <c r="BZ21" s="58">
        <v>91.303427845958524</v>
      </c>
      <c r="CA21" s="58">
        <v>93.082600587552605</v>
      </c>
      <c r="CB21" s="58">
        <v>72.075159326558079</v>
      </c>
      <c r="CC21" s="58" t="s">
        <v>920</v>
      </c>
      <c r="CD21" s="58">
        <v>43.220121934872587</v>
      </c>
      <c r="CE21" s="58">
        <v>62.093036146048533</v>
      </c>
      <c r="CF21" s="58">
        <v>80.420847312656036</v>
      </c>
      <c r="CG21" s="58">
        <v>100</v>
      </c>
      <c r="CH21" s="58">
        <v>81.076854334226994</v>
      </c>
      <c r="CI21" s="58">
        <v>86.197916666666671</v>
      </c>
      <c r="CJ21" s="58">
        <v>86.734693877551024</v>
      </c>
      <c r="CK21" s="58">
        <v>87.440753260728869</v>
      </c>
      <c r="CL21" s="58">
        <v>100</v>
      </c>
      <c r="CM21" s="58">
        <v>68.874514092685985</v>
      </c>
      <c r="CN21" s="58">
        <v>100</v>
      </c>
      <c r="CO21" s="58">
        <v>100</v>
      </c>
      <c r="CP21" s="58">
        <v>96.98152588363088</v>
      </c>
      <c r="CQ21" s="58">
        <v>2</v>
      </c>
      <c r="CR21" s="58">
        <v>1</v>
      </c>
      <c r="CS21" s="58">
        <v>98</v>
      </c>
      <c r="CT21" s="58">
        <v>29</v>
      </c>
      <c r="CU21" s="58">
        <v>98</v>
      </c>
      <c r="CV21" s="58" t="s">
        <v>920</v>
      </c>
      <c r="CW21" s="58">
        <v>14</v>
      </c>
      <c r="CX21" s="58">
        <v>23</v>
      </c>
      <c r="CY21" s="58">
        <v>26</v>
      </c>
      <c r="CZ21" s="58">
        <v>77</v>
      </c>
      <c r="DA21" s="58">
        <v>23</v>
      </c>
      <c r="DB21" s="58">
        <v>18</v>
      </c>
      <c r="DC21" s="58">
        <v>28</v>
      </c>
      <c r="DD21" s="58">
        <v>3</v>
      </c>
      <c r="DE21" s="58">
        <v>96</v>
      </c>
      <c r="DF21" s="58">
        <v>4</v>
      </c>
      <c r="DG21" s="58">
        <v>32</v>
      </c>
      <c r="DH21" s="58" t="s">
        <v>920</v>
      </c>
      <c r="DI21" s="58">
        <v>7</v>
      </c>
      <c r="DJ21" s="58">
        <v>3</v>
      </c>
      <c r="DK21" s="58">
        <v>27</v>
      </c>
      <c r="DL21" s="58">
        <v>35</v>
      </c>
      <c r="DM21" s="58">
        <v>31</v>
      </c>
      <c r="DN21" s="58">
        <v>29</v>
      </c>
      <c r="DO21" s="58">
        <v>13</v>
      </c>
      <c r="DP21" s="58">
        <v>66</v>
      </c>
      <c r="DQ21" s="58">
        <v>25</v>
      </c>
      <c r="DR21" s="58">
        <v>11</v>
      </c>
      <c r="DS21" s="58">
        <v>64</v>
      </c>
      <c r="DT21" s="58" t="s">
        <v>920</v>
      </c>
      <c r="DU21" s="58">
        <v>12</v>
      </c>
      <c r="DV21" s="58">
        <v>8</v>
      </c>
      <c r="DW21" s="58">
        <v>3</v>
      </c>
      <c r="DX21" s="58">
        <v>35</v>
      </c>
      <c r="DY21" s="58">
        <v>1</v>
      </c>
      <c r="DZ21" s="58">
        <v>90</v>
      </c>
      <c r="EA21" s="58">
        <v>15</v>
      </c>
      <c r="EB21" s="58">
        <v>24</v>
      </c>
      <c r="EC21" s="58">
        <v>11</v>
      </c>
      <c r="ED21" s="58" t="s">
        <v>920</v>
      </c>
      <c r="EE21" s="58">
        <v>18</v>
      </c>
      <c r="EF21" s="58">
        <v>41</v>
      </c>
      <c r="EG21" s="58">
        <v>9</v>
      </c>
      <c r="EH21" s="58">
        <v>1</v>
      </c>
      <c r="EI21" s="58">
        <v>15</v>
      </c>
      <c r="EJ21" s="58">
        <v>30</v>
      </c>
      <c r="EK21" s="58">
        <v>17</v>
      </c>
      <c r="EL21" s="58">
        <v>17</v>
      </c>
      <c r="EM21" s="58">
        <v>1</v>
      </c>
      <c r="EN21" s="58">
        <v>8</v>
      </c>
      <c r="EO21" s="58">
        <v>1</v>
      </c>
      <c r="EP21" s="58">
        <v>1</v>
      </c>
      <c r="EQ21" s="58">
        <v>4</v>
      </c>
    </row>
    <row r="22" spans="1:147" x14ac:dyDescent="0.45">
      <c r="A22" t="s">
        <v>58</v>
      </c>
      <c r="B22" s="59" t="s">
        <v>300</v>
      </c>
      <c r="C22" s="37" t="s">
        <v>10</v>
      </c>
      <c r="D22" s="37" t="s">
        <v>880</v>
      </c>
      <c r="E22" s="104">
        <v>55766.413999999997</v>
      </c>
      <c r="F22" s="104">
        <v>9256000</v>
      </c>
      <c r="G22" s="87">
        <v>69.259843042929603</v>
      </c>
      <c r="H22" s="1" t="s">
        <v>161</v>
      </c>
      <c r="I22" s="58">
        <v>16</v>
      </c>
      <c r="J22" s="87">
        <v>54.7845150244462</v>
      </c>
      <c r="K22" s="87">
        <v>69.534970354147632</v>
      </c>
      <c r="L22" s="87">
        <v>72.938876706536078</v>
      </c>
      <c r="M22" s="87">
        <v>79.781010086588466</v>
      </c>
      <c r="N22" s="58">
        <v>31</v>
      </c>
      <c r="O22" s="58">
        <v>3</v>
      </c>
      <c r="P22" s="58">
        <v>38</v>
      </c>
      <c r="Q22" s="58">
        <v>6</v>
      </c>
      <c r="R22" s="58">
        <v>74.78303341241768</v>
      </c>
      <c r="S22" s="58">
        <v>47.401621503235219</v>
      </c>
      <c r="T22" s="58">
        <v>42.168890157685702</v>
      </c>
      <c r="U22" s="58">
        <v>70.982716228982497</v>
      </c>
      <c r="V22" s="58">
        <v>64.989094033536688</v>
      </c>
      <c r="W22" s="58">
        <v>72.633100799923739</v>
      </c>
      <c r="X22" s="58">
        <v>75.546624644161838</v>
      </c>
      <c r="Y22" s="58">
        <v>73.149197807253273</v>
      </c>
      <c r="Z22" s="58">
        <v>70.120807668193152</v>
      </c>
      <c r="AA22" s="58">
        <v>85.43625582927406</v>
      </c>
      <c r="AB22" s="58">
        <v>76.801222609039982</v>
      </c>
      <c r="AC22" s="58">
        <v>77.105551821451328</v>
      </c>
      <c r="AD22" s="58">
        <v>44</v>
      </c>
      <c r="AE22" s="58">
        <v>22</v>
      </c>
      <c r="AF22" s="58">
        <v>41</v>
      </c>
      <c r="AG22" s="58">
        <v>7</v>
      </c>
      <c r="AH22" s="58">
        <v>5</v>
      </c>
      <c r="AI22" s="58">
        <v>5</v>
      </c>
      <c r="AJ22" s="58">
        <v>40</v>
      </c>
      <c r="AK22" s="58">
        <v>35</v>
      </c>
      <c r="AL22" s="58">
        <v>52</v>
      </c>
      <c r="AM22" s="58">
        <v>1</v>
      </c>
      <c r="AN22" s="58">
        <v>27</v>
      </c>
      <c r="AO22" s="58">
        <v>36</v>
      </c>
      <c r="AP22" s="58">
        <v>78.106152884118202</v>
      </c>
      <c r="AQ22" s="58">
        <v>84.947446019826899</v>
      </c>
      <c r="AR22" s="58">
        <v>32.117231522953155</v>
      </c>
      <c r="AS22" s="58">
        <v>94.73684210526315</v>
      </c>
      <c r="AT22" s="58">
        <v>66.784355762168985</v>
      </c>
      <c r="AU22" s="58">
        <v>92.006172180175696</v>
      </c>
      <c r="AV22" s="58">
        <v>79.860080593319367</v>
      </c>
      <c r="AW22" s="58">
        <v>18.039228703770981</v>
      </c>
      <c r="AX22" s="58">
        <v>84.762642670123384</v>
      </c>
      <c r="AY22" s="58">
        <v>6.9445340457271385</v>
      </c>
      <c r="AZ22" s="58" t="s">
        <v>920</v>
      </c>
      <c r="BA22" s="58">
        <v>96.249999999999986</v>
      </c>
      <c r="BB22" s="58">
        <v>11.898941869804817</v>
      </c>
      <c r="BC22" s="58">
        <v>18.357728603252315</v>
      </c>
      <c r="BD22" s="58">
        <v>20.545402471849286</v>
      </c>
      <c r="BE22" s="58">
        <v>87.707869487932726</v>
      </c>
      <c r="BF22" s="58">
        <v>75.677592956148004</v>
      </c>
      <c r="BG22" s="58" t="s">
        <v>920</v>
      </c>
      <c r="BH22" s="58">
        <v>100</v>
      </c>
      <c r="BI22" s="58">
        <v>76.956654192944086</v>
      </c>
      <c r="BJ22" s="58">
        <v>100</v>
      </c>
      <c r="BK22" s="58">
        <v>49.008345327641436</v>
      </c>
      <c r="BL22" s="58">
        <v>33.991376613561208</v>
      </c>
      <c r="BM22" s="58">
        <v>82.449681789198877</v>
      </c>
      <c r="BN22" s="58">
        <v>46.438697188462442</v>
      </c>
      <c r="BO22" s="58">
        <v>61.644024222033636</v>
      </c>
      <c r="BP22" s="58">
        <v>100</v>
      </c>
      <c r="BQ22" s="58">
        <v>75.881496784127407</v>
      </c>
      <c r="BR22" s="58">
        <v>92.50049872404216</v>
      </c>
      <c r="BS22" s="58" t="s">
        <v>920</v>
      </c>
      <c r="BT22" s="58">
        <v>58.257878424315948</v>
      </c>
      <c r="BU22" s="58">
        <v>70.300946660317621</v>
      </c>
      <c r="BV22" s="58">
        <v>40.937499999630859</v>
      </c>
      <c r="BW22" s="58">
        <v>91.639437855372208</v>
      </c>
      <c r="BX22" s="58">
        <v>75</v>
      </c>
      <c r="BY22" s="58">
        <v>87.868104520945664</v>
      </c>
      <c r="BZ22" s="58">
        <v>68.112568768514606</v>
      </c>
      <c r="CA22" s="58">
        <v>88.243195186372859</v>
      </c>
      <c r="CB22" s="58">
        <v>64.334111923491065</v>
      </c>
      <c r="CC22" s="58">
        <v>59.793354794394091</v>
      </c>
      <c r="CD22" s="58">
        <v>96.566840607450203</v>
      </c>
      <c r="CE22" s="58">
        <v>59.741926880371985</v>
      </c>
      <c r="CF22" s="58" t="s">
        <v>920</v>
      </c>
      <c r="CG22" s="58">
        <v>100</v>
      </c>
      <c r="CH22" s="58">
        <v>88.784629133154596</v>
      </c>
      <c r="CI22" s="58">
        <v>64.583333333333343</v>
      </c>
      <c r="CJ22" s="58">
        <v>64.030612244897966</v>
      </c>
      <c r="CK22" s="58">
        <v>90.040798476366092</v>
      </c>
      <c r="CL22" s="58">
        <v>100</v>
      </c>
      <c r="CM22" s="58">
        <v>53.003625078324369</v>
      </c>
      <c r="CN22" s="58">
        <v>71.818181818181813</v>
      </c>
      <c r="CO22" s="58">
        <v>86.329386437029058</v>
      </c>
      <c r="CP22" s="58">
        <v>94.542027904540063</v>
      </c>
      <c r="CQ22" s="58">
        <v>40</v>
      </c>
      <c r="CR22" s="58">
        <v>38</v>
      </c>
      <c r="CS22" s="58">
        <v>62</v>
      </c>
      <c r="CT22" s="58">
        <v>63</v>
      </c>
      <c r="CU22" s="58">
        <v>92</v>
      </c>
      <c r="CV22" s="58">
        <v>47</v>
      </c>
      <c r="CW22" s="58">
        <v>8</v>
      </c>
      <c r="CX22" s="58">
        <v>36</v>
      </c>
      <c r="CY22" s="58">
        <v>2</v>
      </c>
      <c r="CZ22" s="58">
        <v>56</v>
      </c>
      <c r="DA22" s="58" t="s">
        <v>920</v>
      </c>
      <c r="DB22" s="58">
        <v>2</v>
      </c>
      <c r="DC22" s="58">
        <v>27</v>
      </c>
      <c r="DD22" s="58">
        <v>59</v>
      </c>
      <c r="DE22" s="58">
        <v>50</v>
      </c>
      <c r="DF22" s="58">
        <v>3</v>
      </c>
      <c r="DG22" s="58">
        <v>46</v>
      </c>
      <c r="DH22" s="58" t="s">
        <v>920</v>
      </c>
      <c r="DI22" s="58">
        <v>1</v>
      </c>
      <c r="DJ22" s="58">
        <v>32</v>
      </c>
      <c r="DK22" s="58">
        <v>1</v>
      </c>
      <c r="DL22" s="58">
        <v>34</v>
      </c>
      <c r="DM22" s="58">
        <v>21</v>
      </c>
      <c r="DN22" s="58">
        <v>35</v>
      </c>
      <c r="DO22" s="58">
        <v>36</v>
      </c>
      <c r="DP22" s="58">
        <v>25</v>
      </c>
      <c r="DQ22" s="58">
        <v>1</v>
      </c>
      <c r="DR22" s="58">
        <v>42</v>
      </c>
      <c r="DS22" s="58">
        <v>51</v>
      </c>
      <c r="DT22" s="58" t="s">
        <v>920</v>
      </c>
      <c r="DU22" s="58">
        <v>37</v>
      </c>
      <c r="DV22" s="58">
        <v>27</v>
      </c>
      <c r="DW22" s="58">
        <v>111</v>
      </c>
      <c r="DX22" s="58">
        <v>4</v>
      </c>
      <c r="DY22" s="58">
        <v>72</v>
      </c>
      <c r="DZ22" s="58">
        <v>16</v>
      </c>
      <c r="EA22" s="58">
        <v>53</v>
      </c>
      <c r="EB22" s="58">
        <v>34</v>
      </c>
      <c r="EC22" s="58">
        <v>60</v>
      </c>
      <c r="ED22" s="58">
        <v>46</v>
      </c>
      <c r="EE22" s="58">
        <v>7</v>
      </c>
      <c r="EF22" s="58">
        <v>49</v>
      </c>
      <c r="EG22" s="58" t="s">
        <v>920</v>
      </c>
      <c r="EH22" s="58">
        <v>1</v>
      </c>
      <c r="EI22" s="58">
        <v>8</v>
      </c>
      <c r="EJ22" s="58">
        <v>81</v>
      </c>
      <c r="EK22" s="58">
        <v>74</v>
      </c>
      <c r="EL22" s="58">
        <v>10</v>
      </c>
      <c r="EM22" s="58">
        <v>1</v>
      </c>
      <c r="EN22" s="58">
        <v>36</v>
      </c>
      <c r="EO22" s="58">
        <v>81</v>
      </c>
      <c r="EP22" s="58">
        <v>25</v>
      </c>
      <c r="EQ22" s="58">
        <v>10</v>
      </c>
    </row>
    <row r="23" spans="1:147" x14ac:dyDescent="0.45">
      <c r="A23" t="s">
        <v>30</v>
      </c>
      <c r="B23" s="59" t="s">
        <v>299</v>
      </c>
      <c r="C23" s="37" t="s">
        <v>31</v>
      </c>
      <c r="D23" s="37" t="s">
        <v>880</v>
      </c>
      <c r="E23" s="104">
        <v>71430.885999999999</v>
      </c>
      <c r="F23" s="104">
        <v>26451000</v>
      </c>
      <c r="G23" s="87">
        <v>69.016042963697913</v>
      </c>
      <c r="H23" s="1" t="s">
        <v>152</v>
      </c>
      <c r="I23" s="58">
        <v>17</v>
      </c>
      <c r="J23" s="87">
        <v>59.697319179281372</v>
      </c>
      <c r="K23" s="87">
        <v>59.509817494052243</v>
      </c>
      <c r="L23" s="87">
        <v>86.28480765686696</v>
      </c>
      <c r="M23" s="87">
        <v>70.572227524591085</v>
      </c>
      <c r="N23" s="58">
        <v>19</v>
      </c>
      <c r="O23" s="58">
        <v>14</v>
      </c>
      <c r="P23" s="58">
        <v>10</v>
      </c>
      <c r="Q23" s="58">
        <v>18</v>
      </c>
      <c r="R23" s="58">
        <v>80.278127286766079</v>
      </c>
      <c r="S23" s="58">
        <v>54.302875844583873</v>
      </c>
      <c r="T23" s="58">
        <v>44.510954406494157</v>
      </c>
      <c r="U23" s="58">
        <v>55.463570945158935</v>
      </c>
      <c r="V23" s="58">
        <v>56.394775767462484</v>
      </c>
      <c r="W23" s="58">
        <v>66.671105769535316</v>
      </c>
      <c r="X23" s="58">
        <v>90.315861023589477</v>
      </c>
      <c r="Y23" s="58">
        <v>86.116593041233571</v>
      </c>
      <c r="Z23" s="58">
        <v>82.421968905777817</v>
      </c>
      <c r="AA23" s="58">
        <v>46.713790264564828</v>
      </c>
      <c r="AB23" s="58">
        <v>81.599452363937118</v>
      </c>
      <c r="AC23" s="58">
        <v>83.403439945271316</v>
      </c>
      <c r="AD23" s="58">
        <v>18</v>
      </c>
      <c r="AE23" s="58">
        <v>12</v>
      </c>
      <c r="AF23" s="58">
        <v>39</v>
      </c>
      <c r="AG23" s="58">
        <v>46</v>
      </c>
      <c r="AH23" s="58">
        <v>15</v>
      </c>
      <c r="AI23" s="58">
        <v>13</v>
      </c>
      <c r="AJ23" s="58">
        <v>9</v>
      </c>
      <c r="AK23" s="58">
        <v>11</v>
      </c>
      <c r="AL23" s="58">
        <v>18</v>
      </c>
      <c r="AM23" s="58">
        <v>26</v>
      </c>
      <c r="AN23" s="58">
        <v>16</v>
      </c>
      <c r="AO23" s="58">
        <v>17</v>
      </c>
      <c r="AP23" s="58">
        <v>73.519731729208104</v>
      </c>
      <c r="AQ23" s="58">
        <v>100</v>
      </c>
      <c r="AR23" s="58">
        <v>36.021684436845753</v>
      </c>
      <c r="AS23" s="58">
        <v>98.421052631578959</v>
      </c>
      <c r="AT23" s="58">
        <v>73.70629492296365</v>
      </c>
      <c r="AU23" s="58">
        <v>100</v>
      </c>
      <c r="AV23" s="58">
        <v>47.251227147430043</v>
      </c>
      <c r="AW23" s="58">
        <v>68.822131937575392</v>
      </c>
      <c r="AX23" s="58">
        <v>70.485688940150609</v>
      </c>
      <c r="AY23" s="58">
        <v>30.652455353179452</v>
      </c>
      <c r="AZ23" s="58">
        <v>85.729486237117953</v>
      </c>
      <c r="BA23" s="58">
        <v>65.75</v>
      </c>
      <c r="BB23" s="58">
        <v>7.8740039016414327</v>
      </c>
      <c r="BC23" s="58">
        <v>18.690327487217253</v>
      </c>
      <c r="BD23" s="58">
        <v>32.077734857019237</v>
      </c>
      <c r="BE23" s="58">
        <v>76.211613176250538</v>
      </c>
      <c r="BF23" s="58">
        <v>81.220383551130908</v>
      </c>
      <c r="BG23" s="58" t="s">
        <v>920</v>
      </c>
      <c r="BH23" s="58">
        <v>32.344552196235028</v>
      </c>
      <c r="BI23" s="58">
        <v>80.253172614798416</v>
      </c>
      <c r="BJ23" s="58">
        <v>31.668589371267807</v>
      </c>
      <c r="BK23" s="58">
        <v>63.815731220053408</v>
      </c>
      <c r="BL23" s="58">
        <v>49.841609863730305</v>
      </c>
      <c r="BM23" s="58">
        <v>90.638948039604912</v>
      </c>
      <c r="BN23" s="58">
        <v>69.740714032342055</v>
      </c>
      <c r="BO23" s="58">
        <v>80.16426724342945</v>
      </c>
      <c r="BP23" s="58">
        <v>26.140493762764848</v>
      </c>
      <c r="BQ23" s="58">
        <v>86.169142285874742</v>
      </c>
      <c r="BR23" s="58">
        <v>95.48595918845237</v>
      </c>
      <c r="BS23" s="58" t="s">
        <v>920</v>
      </c>
      <c r="BT23" s="58">
        <v>89.292481596441291</v>
      </c>
      <c r="BU23" s="58">
        <v>90.831334661160838</v>
      </c>
      <c r="BV23" s="58">
        <v>89.687499999935554</v>
      </c>
      <c r="BW23" s="58">
        <v>73.954632411516926</v>
      </c>
      <c r="BX23" s="58">
        <v>100</v>
      </c>
      <c r="BY23" s="58">
        <v>76.109498133554538</v>
      </c>
      <c r="BZ23" s="58">
        <v>85.505713076597544</v>
      </c>
      <c r="CA23" s="58">
        <v>95.763206031301678</v>
      </c>
      <c r="CB23" s="58">
        <v>65.996987609434242</v>
      </c>
      <c r="CC23" s="58" t="s">
        <v>920</v>
      </c>
      <c r="CD23" s="58">
        <v>21.826337965228724</v>
      </c>
      <c r="CE23" s="58">
        <v>71.726549823412995</v>
      </c>
      <c r="CF23" s="58">
        <v>82.795885581545107</v>
      </c>
      <c r="CG23" s="58">
        <v>10.506387688072474</v>
      </c>
      <c r="CH23" s="58">
        <v>82.97587131367294</v>
      </c>
      <c r="CI23" s="58">
        <v>79.817708333333329</v>
      </c>
      <c r="CJ23" s="58">
        <v>74.489795918367349</v>
      </c>
      <c r="CK23" s="58">
        <v>89.519758971242851</v>
      </c>
      <c r="CL23" s="58">
        <v>100</v>
      </c>
      <c r="CM23" s="58">
        <v>66.202142990833352</v>
      </c>
      <c r="CN23" s="58">
        <v>95.454545454545453</v>
      </c>
      <c r="CO23" s="58">
        <v>74.058127018299245</v>
      </c>
      <c r="CP23" s="58">
        <v>95.797888634814456</v>
      </c>
      <c r="CQ23" s="58">
        <v>54</v>
      </c>
      <c r="CR23" s="58">
        <v>1</v>
      </c>
      <c r="CS23" s="58">
        <v>50</v>
      </c>
      <c r="CT23" s="58">
        <v>48</v>
      </c>
      <c r="CU23" s="58">
        <v>51</v>
      </c>
      <c r="CV23" s="58">
        <v>1</v>
      </c>
      <c r="CW23" s="58">
        <v>23</v>
      </c>
      <c r="CX23" s="58">
        <v>9</v>
      </c>
      <c r="CY23" s="58">
        <v>35</v>
      </c>
      <c r="CZ23" s="58">
        <v>27</v>
      </c>
      <c r="DA23" s="58">
        <v>14</v>
      </c>
      <c r="DB23" s="58">
        <v>24</v>
      </c>
      <c r="DC23" s="58">
        <v>31</v>
      </c>
      <c r="DD23" s="58">
        <v>58</v>
      </c>
      <c r="DE23" s="58">
        <v>31</v>
      </c>
      <c r="DF23" s="58">
        <v>21</v>
      </c>
      <c r="DG23" s="58">
        <v>23</v>
      </c>
      <c r="DH23" s="58" t="s">
        <v>920</v>
      </c>
      <c r="DI23" s="58">
        <v>21</v>
      </c>
      <c r="DJ23" s="58">
        <v>27</v>
      </c>
      <c r="DK23" s="58">
        <v>20</v>
      </c>
      <c r="DL23" s="58">
        <v>11</v>
      </c>
      <c r="DM23" s="58">
        <v>8</v>
      </c>
      <c r="DN23" s="58">
        <v>14</v>
      </c>
      <c r="DO23" s="58">
        <v>11</v>
      </c>
      <c r="DP23" s="58">
        <v>10</v>
      </c>
      <c r="DQ23" s="58">
        <v>24</v>
      </c>
      <c r="DR23" s="58">
        <v>23</v>
      </c>
      <c r="DS23" s="58">
        <v>45</v>
      </c>
      <c r="DT23" s="58" t="s">
        <v>920</v>
      </c>
      <c r="DU23" s="58">
        <v>5</v>
      </c>
      <c r="DV23" s="58">
        <v>2</v>
      </c>
      <c r="DW23" s="58">
        <v>19</v>
      </c>
      <c r="DX23" s="58">
        <v>22</v>
      </c>
      <c r="DY23" s="58">
        <v>1</v>
      </c>
      <c r="DZ23" s="58">
        <v>39</v>
      </c>
      <c r="EA23" s="58">
        <v>22</v>
      </c>
      <c r="EB23" s="58">
        <v>18</v>
      </c>
      <c r="EC23" s="58">
        <v>48</v>
      </c>
      <c r="ED23" s="58" t="s">
        <v>920</v>
      </c>
      <c r="EE23" s="58">
        <v>24</v>
      </c>
      <c r="EF23" s="58">
        <v>19</v>
      </c>
      <c r="EG23" s="58">
        <v>6</v>
      </c>
      <c r="EH23" s="58">
        <v>73</v>
      </c>
      <c r="EI23" s="58">
        <v>11</v>
      </c>
      <c r="EJ23" s="58">
        <v>48</v>
      </c>
      <c r="EK23" s="58">
        <v>48</v>
      </c>
      <c r="EL23" s="58">
        <v>13</v>
      </c>
      <c r="EM23" s="58">
        <v>1</v>
      </c>
      <c r="EN23" s="58">
        <v>10</v>
      </c>
      <c r="EO23" s="58">
        <v>20</v>
      </c>
      <c r="EP23" s="58">
        <v>70</v>
      </c>
      <c r="EQ23" s="58">
        <v>9</v>
      </c>
    </row>
    <row r="24" spans="1:147" x14ac:dyDescent="0.45">
      <c r="A24" t="s">
        <v>53</v>
      </c>
      <c r="B24" s="59" t="s">
        <v>302</v>
      </c>
      <c r="C24" s="37" t="s">
        <v>10</v>
      </c>
      <c r="D24" s="37" t="s">
        <v>880</v>
      </c>
      <c r="E24" s="104">
        <v>152394.64799999999</v>
      </c>
      <c r="F24" s="104">
        <v>665000</v>
      </c>
      <c r="G24" s="87">
        <v>68.365144627733628</v>
      </c>
      <c r="H24" s="1" t="s">
        <v>156</v>
      </c>
      <c r="I24" s="58">
        <v>18</v>
      </c>
      <c r="J24" s="87">
        <v>62.818431421971191</v>
      </c>
      <c r="K24" s="87">
        <v>48.733395888811238</v>
      </c>
      <c r="L24" s="87">
        <v>86.813056154004656</v>
      </c>
      <c r="M24" s="87">
        <v>75.095695046147455</v>
      </c>
      <c r="N24" s="58">
        <v>14</v>
      </c>
      <c r="O24" s="58">
        <v>35</v>
      </c>
      <c r="P24" s="58">
        <v>7</v>
      </c>
      <c r="Q24" s="58">
        <v>10</v>
      </c>
      <c r="R24" s="58">
        <v>79.143329948374216</v>
      </c>
      <c r="S24" s="58">
        <v>50.397684816023258</v>
      </c>
      <c r="T24" s="58">
        <v>58.91427950151612</v>
      </c>
      <c r="U24" s="58">
        <v>45.507448937700175</v>
      </c>
      <c r="V24" s="58">
        <v>52.889589974960792</v>
      </c>
      <c r="W24" s="58">
        <v>47.803148753772753</v>
      </c>
      <c r="X24" s="58">
        <v>93.426631732069694</v>
      </c>
      <c r="Y24" s="58">
        <v>92.512223169861485</v>
      </c>
      <c r="Z24" s="58">
        <v>74.50031356008283</v>
      </c>
      <c r="AA24" s="58">
        <v>51.842536224914454</v>
      </c>
      <c r="AB24" s="58">
        <v>86.359259658031831</v>
      </c>
      <c r="AC24" s="58">
        <v>87.085289255496093</v>
      </c>
      <c r="AD24" s="58">
        <v>23</v>
      </c>
      <c r="AE24" s="58">
        <v>16</v>
      </c>
      <c r="AF24" s="58">
        <v>15</v>
      </c>
      <c r="AG24" s="58">
        <v>87</v>
      </c>
      <c r="AH24" s="58">
        <v>20</v>
      </c>
      <c r="AI24" s="58">
        <v>41</v>
      </c>
      <c r="AJ24" s="58">
        <v>5</v>
      </c>
      <c r="AK24" s="58">
        <v>1</v>
      </c>
      <c r="AL24" s="58">
        <v>39</v>
      </c>
      <c r="AM24" s="58">
        <v>20</v>
      </c>
      <c r="AN24" s="58">
        <v>8</v>
      </c>
      <c r="AO24" s="58">
        <v>5</v>
      </c>
      <c r="AP24" s="58">
        <v>96.547118678508795</v>
      </c>
      <c r="AQ24" s="58">
        <v>91.999717360355092</v>
      </c>
      <c r="AR24" s="58">
        <v>6.2822742207864462</v>
      </c>
      <c r="AS24" s="58">
        <v>100</v>
      </c>
      <c r="AT24" s="58">
        <v>80.030869430595047</v>
      </c>
      <c r="AU24" s="58">
        <v>100</v>
      </c>
      <c r="AV24" s="58">
        <v>48.20913541756299</v>
      </c>
      <c r="AW24" s="58">
        <v>82.586214965902528</v>
      </c>
      <c r="AX24" s="58">
        <v>70.267034209122968</v>
      </c>
      <c r="AY24" s="58">
        <v>0.5283546715045444</v>
      </c>
      <c r="AZ24" s="58">
        <v>85.2876522291279</v>
      </c>
      <c r="BA24" s="58">
        <v>79.5</v>
      </c>
      <c r="BB24" s="58" t="s">
        <v>920</v>
      </c>
      <c r="BC24" s="58">
        <v>11.955186275420447</v>
      </c>
      <c r="BD24" s="58">
        <v>1.7231154595769627</v>
      </c>
      <c r="BE24" s="58">
        <v>60.112202992972556</v>
      </c>
      <c r="BF24" s="58">
        <v>50.770632460829624</v>
      </c>
      <c r="BG24" s="58" t="s">
        <v>920</v>
      </c>
      <c r="BH24" s="58">
        <v>69.423844837421569</v>
      </c>
      <c r="BI24" s="58">
        <v>83.339850588144344</v>
      </c>
      <c r="BJ24" s="58">
        <v>39.911504646424397</v>
      </c>
      <c r="BK24" s="58">
        <v>35.417414690313663</v>
      </c>
      <c r="BL24" s="58" t="s">
        <v>920</v>
      </c>
      <c r="BM24" s="58">
        <v>70.589862970849723</v>
      </c>
      <c r="BN24" s="58" t="s">
        <v>920</v>
      </c>
      <c r="BO24" s="58">
        <v>56.586585759667152</v>
      </c>
      <c r="BP24" s="58">
        <v>16.232997530801381</v>
      </c>
      <c r="BQ24" s="58">
        <v>88.39534728149836</v>
      </c>
      <c r="BR24" s="58">
        <v>98.457916182641043</v>
      </c>
      <c r="BS24" s="58" t="s">
        <v>920</v>
      </c>
      <c r="BT24" s="58" t="s">
        <v>920</v>
      </c>
      <c r="BU24" s="58">
        <v>90.502452431761498</v>
      </c>
      <c r="BV24" s="58">
        <v>80.312499999876948</v>
      </c>
      <c r="BW24" s="58">
        <v>100</v>
      </c>
      <c r="BX24" s="58">
        <v>100</v>
      </c>
      <c r="BY24" s="58">
        <v>91.746163417668996</v>
      </c>
      <c r="BZ24" s="58">
        <v>60.865425306813371</v>
      </c>
      <c r="CA24" s="58">
        <v>96.368710904725077</v>
      </c>
      <c r="CB24" s="58">
        <v>66.266804468710063</v>
      </c>
      <c r="CC24" s="58" t="s">
        <v>920</v>
      </c>
      <c r="CD24" s="58">
        <v>62.369428373066995</v>
      </c>
      <c r="CE24" s="58">
        <v>43.489017164185668</v>
      </c>
      <c r="CF24" s="58">
        <v>76.132522401108474</v>
      </c>
      <c r="CG24" s="58">
        <v>25.379176961296672</v>
      </c>
      <c r="CH24" s="58">
        <v>86.282394995531732</v>
      </c>
      <c r="CI24" s="58">
        <v>89.453125</v>
      </c>
      <c r="CJ24" s="58">
        <v>75</v>
      </c>
      <c r="CK24" s="58">
        <v>91.684517957127639</v>
      </c>
      <c r="CL24" s="58">
        <v>100</v>
      </c>
      <c r="CM24" s="58">
        <v>57.652894227850801</v>
      </c>
      <c r="CN24" s="58">
        <v>100</v>
      </c>
      <c r="CO24" s="58">
        <v>93.433799784714751</v>
      </c>
      <c r="CP24" s="58">
        <v>94.508926018837684</v>
      </c>
      <c r="CQ24" s="58">
        <v>5</v>
      </c>
      <c r="CR24" s="58">
        <v>25</v>
      </c>
      <c r="CS24" s="58">
        <v>116</v>
      </c>
      <c r="CT24" s="58">
        <v>1</v>
      </c>
      <c r="CU24" s="58">
        <v>22</v>
      </c>
      <c r="CV24" s="58">
        <v>1</v>
      </c>
      <c r="CW24" s="58">
        <v>22</v>
      </c>
      <c r="CX24" s="58">
        <v>5</v>
      </c>
      <c r="CY24" s="58">
        <v>39</v>
      </c>
      <c r="CZ24" s="58">
        <v>106</v>
      </c>
      <c r="DA24" s="58">
        <v>15</v>
      </c>
      <c r="DB24" s="58">
        <v>10</v>
      </c>
      <c r="DC24" s="58" t="s">
        <v>920</v>
      </c>
      <c r="DD24" s="58">
        <v>79</v>
      </c>
      <c r="DE24" s="58">
        <v>115</v>
      </c>
      <c r="DF24" s="58">
        <v>43</v>
      </c>
      <c r="DG24" s="58">
        <v>91</v>
      </c>
      <c r="DH24" s="58" t="s">
        <v>920</v>
      </c>
      <c r="DI24" s="58">
        <v>3</v>
      </c>
      <c r="DJ24" s="58">
        <v>20</v>
      </c>
      <c r="DK24" s="58">
        <v>15</v>
      </c>
      <c r="DL24" s="58">
        <v>90</v>
      </c>
      <c r="DM24" s="58" t="s">
        <v>920</v>
      </c>
      <c r="DN24" s="58">
        <v>64</v>
      </c>
      <c r="DO24" s="58" t="s">
        <v>920</v>
      </c>
      <c r="DP24" s="58">
        <v>30</v>
      </c>
      <c r="DQ24" s="58">
        <v>40</v>
      </c>
      <c r="DR24" s="58">
        <v>17</v>
      </c>
      <c r="DS24" s="58">
        <v>26</v>
      </c>
      <c r="DT24" s="58" t="s">
        <v>920</v>
      </c>
      <c r="DU24" s="58" t="s">
        <v>920</v>
      </c>
      <c r="DV24" s="58">
        <v>3</v>
      </c>
      <c r="DW24" s="58">
        <v>46</v>
      </c>
      <c r="DX24" s="58">
        <v>1</v>
      </c>
      <c r="DY24" s="58">
        <v>1</v>
      </c>
      <c r="DZ24" s="58">
        <v>10</v>
      </c>
      <c r="EA24" s="58">
        <v>67</v>
      </c>
      <c r="EB24" s="58">
        <v>13</v>
      </c>
      <c r="EC24" s="58">
        <v>46</v>
      </c>
      <c r="ED24" s="58" t="s">
        <v>920</v>
      </c>
      <c r="EE24" s="58">
        <v>13</v>
      </c>
      <c r="EF24" s="58">
        <v>91</v>
      </c>
      <c r="EG24" s="58">
        <v>13</v>
      </c>
      <c r="EH24" s="58">
        <v>38</v>
      </c>
      <c r="EI24" s="58">
        <v>9</v>
      </c>
      <c r="EJ24" s="58">
        <v>17</v>
      </c>
      <c r="EK24" s="58">
        <v>46</v>
      </c>
      <c r="EL24" s="58">
        <v>5</v>
      </c>
      <c r="EM24" s="58">
        <v>1</v>
      </c>
      <c r="EN24" s="58">
        <v>32</v>
      </c>
      <c r="EO24" s="58">
        <v>1</v>
      </c>
      <c r="EP24" s="58">
        <v>6</v>
      </c>
      <c r="EQ24" s="58">
        <v>11</v>
      </c>
    </row>
    <row r="25" spans="1:147" x14ac:dyDescent="0.45">
      <c r="A25" t="s">
        <v>50</v>
      </c>
      <c r="B25" s="59" t="s">
        <v>301</v>
      </c>
      <c r="C25" s="37" t="s">
        <v>10</v>
      </c>
      <c r="D25" s="37" t="s">
        <v>880</v>
      </c>
      <c r="E25" s="104">
        <v>66060.528000000006</v>
      </c>
      <c r="F25" s="104">
        <v>66439000</v>
      </c>
      <c r="G25" s="87">
        <v>68.162697911532348</v>
      </c>
      <c r="H25" s="1" t="s">
        <v>153</v>
      </c>
      <c r="I25" s="58">
        <v>19</v>
      </c>
      <c r="J25" s="87">
        <v>61.636419428389047</v>
      </c>
      <c r="K25" s="87">
        <v>59.169449041081329</v>
      </c>
      <c r="L25" s="87">
        <v>81.987440728052164</v>
      </c>
      <c r="M25" s="87">
        <v>69.857482448606859</v>
      </c>
      <c r="N25" s="58">
        <v>15</v>
      </c>
      <c r="O25" s="58">
        <v>16</v>
      </c>
      <c r="P25" s="58">
        <v>21</v>
      </c>
      <c r="Q25" s="58">
        <v>21</v>
      </c>
      <c r="R25" s="58">
        <v>83.399496997673936</v>
      </c>
      <c r="S25" s="58">
        <v>46.747651430767576</v>
      </c>
      <c r="T25" s="58">
        <v>54.76210985672563</v>
      </c>
      <c r="U25" s="58">
        <v>57.65289113210757</v>
      </c>
      <c r="V25" s="58">
        <v>53.644703743943793</v>
      </c>
      <c r="W25" s="58">
        <v>66.210752247192616</v>
      </c>
      <c r="X25" s="58">
        <v>82.466729066329407</v>
      </c>
      <c r="Y25" s="58">
        <v>83.053525905054229</v>
      </c>
      <c r="Z25" s="58">
        <v>80.442067212772898</v>
      </c>
      <c r="AA25" s="58">
        <v>50.612502769206756</v>
      </c>
      <c r="AB25" s="58">
        <v>74.364135168258599</v>
      </c>
      <c r="AC25" s="58">
        <v>84.595809408355237</v>
      </c>
      <c r="AD25" s="58">
        <v>9</v>
      </c>
      <c r="AE25" s="58">
        <v>24</v>
      </c>
      <c r="AF25" s="58">
        <v>18</v>
      </c>
      <c r="AG25" s="58">
        <v>37</v>
      </c>
      <c r="AH25" s="58">
        <v>19</v>
      </c>
      <c r="AI25" s="58">
        <v>14</v>
      </c>
      <c r="AJ25" s="58">
        <v>25</v>
      </c>
      <c r="AK25" s="58">
        <v>15</v>
      </c>
      <c r="AL25" s="58">
        <v>22</v>
      </c>
      <c r="AM25" s="58">
        <v>22</v>
      </c>
      <c r="AN25" s="58">
        <v>38</v>
      </c>
      <c r="AO25" s="58">
        <v>13</v>
      </c>
      <c r="AP25" s="58">
        <v>88.498652552907203</v>
      </c>
      <c r="AQ25" s="58">
        <v>98.484295526638419</v>
      </c>
      <c r="AR25" s="58">
        <v>57.966073156645827</v>
      </c>
      <c r="AS25" s="58">
        <v>94.73684210526315</v>
      </c>
      <c r="AT25" s="58">
        <v>77.311621646915142</v>
      </c>
      <c r="AU25" s="58" t="s">
        <v>920</v>
      </c>
      <c r="AV25" s="58">
        <v>48.57092109222301</v>
      </c>
      <c r="AW25" s="58">
        <v>37.618983513704727</v>
      </c>
      <c r="AX25" s="58">
        <v>73.931840950580778</v>
      </c>
      <c r="AY25" s="58">
        <v>26.86886016656176</v>
      </c>
      <c r="AZ25" s="58">
        <v>79.784109849988099</v>
      </c>
      <c r="BA25" s="58">
        <v>67.250000000000014</v>
      </c>
      <c r="BB25" s="58">
        <v>23.815468925134631</v>
      </c>
      <c r="BC25" s="58">
        <v>48.198860651779768</v>
      </c>
      <c r="BD25" s="58">
        <v>47.693071772081161</v>
      </c>
      <c r="BE25" s="58">
        <v>70.889510668860112</v>
      </c>
      <c r="BF25" s="58">
        <v>79.855565088059464</v>
      </c>
      <c r="BG25" s="58" t="s">
        <v>920</v>
      </c>
      <c r="BH25" s="58">
        <v>32.173416999429548</v>
      </c>
      <c r="BI25" s="58">
        <v>66.54011067208053</v>
      </c>
      <c r="BJ25" s="58">
        <v>18.513209267549541</v>
      </c>
      <c r="BK25" s="58">
        <v>71.876588358055798</v>
      </c>
      <c r="BL25" s="58">
        <v>57.648906678089304</v>
      </c>
      <c r="BM25" s="58">
        <v>81.232179593604499</v>
      </c>
      <c r="BN25" s="58">
        <v>73.433156030896811</v>
      </c>
      <c r="BO25" s="58">
        <v>75.771958415003851</v>
      </c>
      <c r="BP25" s="58">
        <v>34.405714949265295</v>
      </c>
      <c r="BQ25" s="58">
        <v>88.245894620769633</v>
      </c>
      <c r="BR25" s="58">
        <v>98.771687603200164</v>
      </c>
      <c r="BS25" s="58" t="s">
        <v>920</v>
      </c>
      <c r="BT25" s="58">
        <v>60.382604975018431</v>
      </c>
      <c r="BU25" s="58">
        <v>71.094415386077614</v>
      </c>
      <c r="BV25" s="58">
        <v>91.562499999947264</v>
      </c>
      <c r="BW25" s="58">
        <v>81.872431269067931</v>
      </c>
      <c r="BX25" s="58">
        <v>100</v>
      </c>
      <c r="BY25" s="58">
        <v>70.738282870178352</v>
      </c>
      <c r="BZ25" s="58">
        <v>79.707998307236565</v>
      </c>
      <c r="CA25" s="58">
        <v>96.123552705619488</v>
      </c>
      <c r="CB25" s="58">
        <v>65.49465062546264</v>
      </c>
      <c r="CC25" s="58" t="s">
        <v>920</v>
      </c>
      <c r="CD25" s="58">
        <v>43.253468833951445</v>
      </c>
      <c r="CE25" s="58">
        <v>79.64459633886419</v>
      </c>
      <c r="CF25" s="58">
        <v>60.797823486524635</v>
      </c>
      <c r="CG25" s="58">
        <v>18.754122417486784</v>
      </c>
      <c r="CH25" s="58">
        <v>74.463806970509381</v>
      </c>
      <c r="CI25" s="58">
        <v>64.973958333333343</v>
      </c>
      <c r="CJ25" s="58">
        <v>79.591836734693885</v>
      </c>
      <c r="CK25" s="58">
        <v>87.717443667172219</v>
      </c>
      <c r="CL25" s="58">
        <v>100</v>
      </c>
      <c r="CM25" s="58">
        <v>58.321489569469342</v>
      </c>
      <c r="CN25" s="58">
        <v>100</v>
      </c>
      <c r="CO25" s="58">
        <v>84.068891280947255</v>
      </c>
      <c r="CP25" s="58">
        <v>91.985713566008698</v>
      </c>
      <c r="CQ25" s="58">
        <v>14</v>
      </c>
      <c r="CR25" s="58">
        <v>8</v>
      </c>
      <c r="CS25" s="58">
        <v>15</v>
      </c>
      <c r="CT25" s="58">
        <v>63</v>
      </c>
      <c r="CU25" s="58">
        <v>32</v>
      </c>
      <c r="CV25" s="58" t="s">
        <v>920</v>
      </c>
      <c r="CW25" s="58">
        <v>21</v>
      </c>
      <c r="CX25" s="58">
        <v>25</v>
      </c>
      <c r="CY25" s="58">
        <v>20</v>
      </c>
      <c r="CZ25" s="58">
        <v>31</v>
      </c>
      <c r="DA25" s="58">
        <v>22</v>
      </c>
      <c r="DB25" s="58">
        <v>22</v>
      </c>
      <c r="DC25" s="58">
        <v>19</v>
      </c>
      <c r="DD25" s="58">
        <v>9</v>
      </c>
      <c r="DE25" s="58">
        <v>11</v>
      </c>
      <c r="DF25" s="58">
        <v>30</v>
      </c>
      <c r="DG25" s="58">
        <v>29</v>
      </c>
      <c r="DH25" s="58" t="s">
        <v>920</v>
      </c>
      <c r="DI25" s="58">
        <v>22</v>
      </c>
      <c r="DJ25" s="58">
        <v>44</v>
      </c>
      <c r="DK25" s="58">
        <v>30</v>
      </c>
      <c r="DL25" s="58">
        <v>6</v>
      </c>
      <c r="DM25" s="58">
        <v>6</v>
      </c>
      <c r="DN25" s="58">
        <v>37</v>
      </c>
      <c r="DO25" s="58">
        <v>4</v>
      </c>
      <c r="DP25" s="58">
        <v>16</v>
      </c>
      <c r="DQ25" s="58">
        <v>16</v>
      </c>
      <c r="DR25" s="58">
        <v>18</v>
      </c>
      <c r="DS25" s="58">
        <v>23</v>
      </c>
      <c r="DT25" s="58" t="s">
        <v>920</v>
      </c>
      <c r="DU25" s="58">
        <v>32</v>
      </c>
      <c r="DV25" s="58">
        <v>25</v>
      </c>
      <c r="DW25" s="58">
        <v>13</v>
      </c>
      <c r="DX25" s="58">
        <v>10</v>
      </c>
      <c r="DY25" s="58">
        <v>1</v>
      </c>
      <c r="DZ25" s="58">
        <v>46</v>
      </c>
      <c r="EA25" s="58">
        <v>33</v>
      </c>
      <c r="EB25" s="58">
        <v>15</v>
      </c>
      <c r="EC25" s="58">
        <v>53</v>
      </c>
      <c r="ED25" s="58" t="s">
        <v>920</v>
      </c>
      <c r="EE25" s="58">
        <v>17</v>
      </c>
      <c r="EF25" s="58">
        <v>9</v>
      </c>
      <c r="EG25" s="58">
        <v>34</v>
      </c>
      <c r="EH25" s="58">
        <v>50</v>
      </c>
      <c r="EI25" s="58">
        <v>30</v>
      </c>
      <c r="EJ25" s="58">
        <v>80</v>
      </c>
      <c r="EK25" s="58">
        <v>33</v>
      </c>
      <c r="EL25" s="58">
        <v>15</v>
      </c>
      <c r="EM25" s="58">
        <v>1</v>
      </c>
      <c r="EN25" s="58">
        <v>26</v>
      </c>
      <c r="EO25" s="58">
        <v>1</v>
      </c>
      <c r="EP25" s="58">
        <v>37</v>
      </c>
      <c r="EQ25" s="58">
        <v>14</v>
      </c>
    </row>
    <row r="26" spans="1:147" x14ac:dyDescent="0.45">
      <c r="A26" t="s">
        <v>54</v>
      </c>
      <c r="B26" s="59" t="s">
        <v>306</v>
      </c>
      <c r="C26" s="37" t="s">
        <v>10</v>
      </c>
      <c r="D26" s="37" t="s">
        <v>880</v>
      </c>
      <c r="E26" s="104">
        <v>75882.365999999995</v>
      </c>
      <c r="F26" s="104">
        <v>11713000</v>
      </c>
      <c r="G26" s="87">
        <v>67.15441098121461</v>
      </c>
      <c r="H26" s="1" t="s">
        <v>157</v>
      </c>
      <c r="I26" s="58">
        <v>20</v>
      </c>
      <c r="J26" s="87">
        <v>59.574776453265692</v>
      </c>
      <c r="K26" s="87">
        <v>55.860504088087623</v>
      </c>
      <c r="L26" s="87">
        <v>81.033435123472529</v>
      </c>
      <c r="M26" s="87">
        <v>72.148928260032619</v>
      </c>
      <c r="N26" s="58">
        <v>21</v>
      </c>
      <c r="O26" s="58">
        <v>20</v>
      </c>
      <c r="P26" s="58">
        <v>23</v>
      </c>
      <c r="Q26" s="58">
        <v>14</v>
      </c>
      <c r="R26" s="58">
        <v>78.910556417650582</v>
      </c>
      <c r="S26" s="58">
        <v>45.185473887644839</v>
      </c>
      <c r="T26" s="58">
        <v>54.628299054501667</v>
      </c>
      <c r="U26" s="58">
        <v>47.472378145181175</v>
      </c>
      <c r="V26" s="58">
        <v>55.812665399830848</v>
      </c>
      <c r="W26" s="58">
        <v>64.296468719250853</v>
      </c>
      <c r="X26" s="58">
        <v>86.512955594014826</v>
      </c>
      <c r="Y26" s="58">
        <v>87.409801388478712</v>
      </c>
      <c r="Z26" s="58">
        <v>69.177548387924062</v>
      </c>
      <c r="AA26" s="58">
        <v>47.964792368933693</v>
      </c>
      <c r="AB26" s="58">
        <v>85.28205291207685</v>
      </c>
      <c r="AC26" s="58">
        <v>83.199939499087336</v>
      </c>
      <c r="AD26" s="58">
        <v>24</v>
      </c>
      <c r="AE26" s="58">
        <v>27</v>
      </c>
      <c r="AF26" s="58">
        <v>19</v>
      </c>
      <c r="AG26" s="58">
        <v>79</v>
      </c>
      <c r="AH26" s="58">
        <v>16</v>
      </c>
      <c r="AI26" s="58">
        <v>17</v>
      </c>
      <c r="AJ26" s="58">
        <v>17</v>
      </c>
      <c r="AK26" s="58">
        <v>9</v>
      </c>
      <c r="AL26" s="58">
        <v>53</v>
      </c>
      <c r="AM26" s="58">
        <v>23</v>
      </c>
      <c r="AN26" s="58">
        <v>9</v>
      </c>
      <c r="AO26" s="58">
        <v>18</v>
      </c>
      <c r="AP26" s="58">
        <v>85.700992979762603</v>
      </c>
      <c r="AQ26" s="58">
        <v>95.741589804490914</v>
      </c>
      <c r="AR26" s="58">
        <v>18.616039365506321</v>
      </c>
      <c r="AS26" s="58">
        <v>100</v>
      </c>
      <c r="AT26" s="58">
        <v>73.404716356143666</v>
      </c>
      <c r="AU26" s="58">
        <v>100</v>
      </c>
      <c r="AV26" s="58">
        <v>66.094172752740803</v>
      </c>
      <c r="AW26" s="58">
        <v>47.188817805747632</v>
      </c>
      <c r="AX26" s="58">
        <v>61.366508865148027</v>
      </c>
      <c r="AY26" s="58">
        <v>6.0923961269428899</v>
      </c>
      <c r="AZ26" s="58">
        <v>79.979892584067287</v>
      </c>
      <c r="BA26" s="58">
        <v>67.5</v>
      </c>
      <c r="BB26" s="58">
        <v>28.263838065903524</v>
      </c>
      <c r="BC26" s="58">
        <v>42.769465568035869</v>
      </c>
      <c r="BD26" s="58">
        <v>13.356584991384199</v>
      </c>
      <c r="BE26" s="58">
        <v>69.069291350460645</v>
      </c>
      <c r="BF26" s="58">
        <v>81.622221521252939</v>
      </c>
      <c r="BG26" s="58" t="s">
        <v>920</v>
      </c>
      <c r="BH26" s="58">
        <v>25.841414717626925</v>
      </c>
      <c r="BI26" s="58">
        <v>93.439246302215707</v>
      </c>
      <c r="BJ26" s="58">
        <v>37.216050357973828</v>
      </c>
      <c r="BK26" s="58">
        <v>56.588339799345192</v>
      </c>
      <c r="BL26" s="58">
        <v>36.007025139788652</v>
      </c>
      <c r="BM26" s="58">
        <v>66.607716461544015</v>
      </c>
      <c r="BN26" s="58" t="s">
        <v>920</v>
      </c>
      <c r="BO26" s="58">
        <v>73.95330324353958</v>
      </c>
      <c r="BP26" s="58">
        <v>52.328386452668951</v>
      </c>
      <c r="BQ26" s="58">
        <v>84.6507046444639</v>
      </c>
      <c r="BR26" s="58">
        <v>96.178909548743547</v>
      </c>
      <c r="BS26" s="58" t="s">
        <v>920</v>
      </c>
      <c r="BT26" s="58">
        <v>78.709252588837003</v>
      </c>
      <c r="BU26" s="58">
        <v>71.462761931758095</v>
      </c>
      <c r="BV26" s="58">
        <v>94.374999999964842</v>
      </c>
      <c r="BW26" s="58">
        <v>82.140320083254664</v>
      </c>
      <c r="BX26" s="58">
        <v>100</v>
      </c>
      <c r="BY26" s="58">
        <v>89.070924927416002</v>
      </c>
      <c r="BZ26" s="58">
        <v>47.820567075751164</v>
      </c>
      <c r="CA26" s="58">
        <v>94.320323903915536</v>
      </c>
      <c r="CB26" s="58">
        <v>65.39175418410548</v>
      </c>
      <c r="CC26" s="58" t="s">
        <v>920</v>
      </c>
      <c r="CD26" s="58">
        <v>26.890069375021952</v>
      </c>
      <c r="CE26" s="58">
        <v>64.215868422059557</v>
      </c>
      <c r="CF26" s="58">
        <v>73.351281573806105</v>
      </c>
      <c r="CG26" s="58">
        <v>27.401950104847145</v>
      </c>
      <c r="CH26" s="58">
        <v>81.546023235031285</v>
      </c>
      <c r="CI26" s="58">
        <v>84.765625</v>
      </c>
      <c r="CJ26" s="58">
        <v>92.34693877551021</v>
      </c>
      <c r="CK26" s="58">
        <v>86.722082226888318</v>
      </c>
      <c r="CL26" s="58">
        <v>100</v>
      </c>
      <c r="CM26" s="58">
        <v>61.618671061215998</v>
      </c>
      <c r="CN26" s="58">
        <v>100</v>
      </c>
      <c r="CO26" s="58">
        <v>78.68675995694295</v>
      </c>
      <c r="CP26" s="58">
        <v>84.98865395638073</v>
      </c>
      <c r="CQ26" s="58">
        <v>25</v>
      </c>
      <c r="CR26" s="58">
        <v>18</v>
      </c>
      <c r="CS26" s="58">
        <v>95</v>
      </c>
      <c r="CT26" s="58">
        <v>1</v>
      </c>
      <c r="CU26" s="58">
        <v>53</v>
      </c>
      <c r="CV26" s="58">
        <v>1</v>
      </c>
      <c r="CW26" s="58">
        <v>13</v>
      </c>
      <c r="CX26" s="58">
        <v>18</v>
      </c>
      <c r="CY26" s="58">
        <v>75</v>
      </c>
      <c r="CZ26" s="58">
        <v>62</v>
      </c>
      <c r="DA26" s="58">
        <v>21</v>
      </c>
      <c r="DB26" s="58">
        <v>21</v>
      </c>
      <c r="DC26" s="58">
        <v>16</v>
      </c>
      <c r="DD26" s="58">
        <v>18</v>
      </c>
      <c r="DE26" s="58">
        <v>68</v>
      </c>
      <c r="DF26" s="58">
        <v>32</v>
      </c>
      <c r="DG26" s="58">
        <v>20</v>
      </c>
      <c r="DH26" s="58" t="s">
        <v>920</v>
      </c>
      <c r="DI26" s="58">
        <v>27</v>
      </c>
      <c r="DJ26" s="58">
        <v>5</v>
      </c>
      <c r="DK26" s="58">
        <v>16</v>
      </c>
      <c r="DL26" s="58">
        <v>22</v>
      </c>
      <c r="DM26" s="58">
        <v>19</v>
      </c>
      <c r="DN26" s="58">
        <v>70</v>
      </c>
      <c r="DO26" s="58" t="s">
        <v>920</v>
      </c>
      <c r="DP26" s="58">
        <v>17</v>
      </c>
      <c r="DQ26" s="58">
        <v>6</v>
      </c>
      <c r="DR26" s="58">
        <v>27</v>
      </c>
      <c r="DS26" s="58">
        <v>40</v>
      </c>
      <c r="DT26" s="58" t="s">
        <v>920</v>
      </c>
      <c r="DU26" s="58">
        <v>16</v>
      </c>
      <c r="DV26" s="58">
        <v>24</v>
      </c>
      <c r="DW26" s="58">
        <v>5</v>
      </c>
      <c r="DX26" s="58">
        <v>8</v>
      </c>
      <c r="DY26" s="58">
        <v>1</v>
      </c>
      <c r="DZ26" s="58">
        <v>14</v>
      </c>
      <c r="EA26" s="58">
        <v>83</v>
      </c>
      <c r="EB26" s="58">
        <v>21</v>
      </c>
      <c r="EC26" s="58">
        <v>54</v>
      </c>
      <c r="ED26" s="58" t="s">
        <v>920</v>
      </c>
      <c r="EE26" s="58">
        <v>23</v>
      </c>
      <c r="EF26" s="58">
        <v>35</v>
      </c>
      <c r="EG26" s="58">
        <v>17</v>
      </c>
      <c r="EH26" s="58">
        <v>34</v>
      </c>
      <c r="EI26" s="58">
        <v>14</v>
      </c>
      <c r="EJ26" s="58">
        <v>32</v>
      </c>
      <c r="EK26" s="58">
        <v>9</v>
      </c>
      <c r="EL26" s="58">
        <v>21</v>
      </c>
      <c r="EM26" s="58">
        <v>1</v>
      </c>
      <c r="EN26" s="58">
        <v>20</v>
      </c>
      <c r="EO26" s="58">
        <v>1</v>
      </c>
      <c r="EP26" s="58">
        <v>51</v>
      </c>
      <c r="EQ26" s="58">
        <v>28</v>
      </c>
    </row>
    <row r="27" spans="1:147" x14ac:dyDescent="0.45">
      <c r="A27" t="s">
        <v>51</v>
      </c>
      <c r="B27" s="59" t="s">
        <v>303</v>
      </c>
      <c r="C27" s="37" t="s">
        <v>10</v>
      </c>
      <c r="D27" s="37" t="s">
        <v>880</v>
      </c>
      <c r="E27" s="104">
        <v>74852.289000000004</v>
      </c>
      <c r="F27" s="104">
        <v>9130000</v>
      </c>
      <c r="G27" s="87">
        <v>67.130277873782887</v>
      </c>
      <c r="H27" s="1" t="s">
        <v>154</v>
      </c>
      <c r="I27" s="58">
        <v>21</v>
      </c>
      <c r="J27" s="87">
        <v>59.679771224089365</v>
      </c>
      <c r="K27" s="87">
        <v>52.35693787064713</v>
      </c>
      <c r="L27" s="87">
        <v>82.742875229296445</v>
      </c>
      <c r="M27" s="87">
        <v>73.74152717109861</v>
      </c>
      <c r="N27" s="58">
        <v>20</v>
      </c>
      <c r="O27" s="58">
        <v>29</v>
      </c>
      <c r="P27" s="58">
        <v>19</v>
      </c>
      <c r="Q27" s="58">
        <v>13</v>
      </c>
      <c r="R27" s="58">
        <v>76.860948733310963</v>
      </c>
      <c r="S27" s="58">
        <v>47.801781244587119</v>
      </c>
      <c r="T27" s="58">
        <v>54.376583694370012</v>
      </c>
      <c r="U27" s="58">
        <v>53.231898131311091</v>
      </c>
      <c r="V27" s="58">
        <v>48.322054301871098</v>
      </c>
      <c r="W27" s="58">
        <v>55.5168611787592</v>
      </c>
      <c r="X27" s="58">
        <v>82.393426662025064</v>
      </c>
      <c r="Y27" s="58">
        <v>85.596345169827359</v>
      </c>
      <c r="Z27" s="58">
        <v>80.23885385603694</v>
      </c>
      <c r="AA27" s="58">
        <v>56.217079699720387</v>
      </c>
      <c r="AB27" s="58">
        <v>80.970881923849987</v>
      </c>
      <c r="AC27" s="58">
        <v>84.036619889725458</v>
      </c>
      <c r="AD27" s="58">
        <v>35</v>
      </c>
      <c r="AE27" s="58">
        <v>21</v>
      </c>
      <c r="AF27" s="58">
        <v>20</v>
      </c>
      <c r="AG27" s="58">
        <v>56</v>
      </c>
      <c r="AH27" s="58">
        <v>26</v>
      </c>
      <c r="AI27" s="58">
        <v>26</v>
      </c>
      <c r="AJ27" s="58">
        <v>27</v>
      </c>
      <c r="AK27" s="58">
        <v>13</v>
      </c>
      <c r="AL27" s="58">
        <v>23</v>
      </c>
      <c r="AM27" s="58">
        <v>15</v>
      </c>
      <c r="AN27" s="58">
        <v>19</v>
      </c>
      <c r="AO27" s="58">
        <v>15</v>
      </c>
      <c r="AP27" s="58">
        <v>92.572472361746506</v>
      </c>
      <c r="AQ27" s="58">
        <v>96.073054515973155</v>
      </c>
      <c r="AR27" s="58">
        <v>15.992169769608628</v>
      </c>
      <c r="AS27" s="58">
        <v>89.473684210526315</v>
      </c>
      <c r="AT27" s="58">
        <v>67.054311542011192</v>
      </c>
      <c r="AU27" s="58">
        <v>100</v>
      </c>
      <c r="AV27" s="58">
        <v>58.287962564134823</v>
      </c>
      <c r="AW27" s="58">
        <v>57.989415997074204</v>
      </c>
      <c r="AX27" s="58">
        <v>68.545092252579849</v>
      </c>
      <c r="AY27" s="58">
        <v>6.3846541645596044</v>
      </c>
      <c r="AZ27" s="58">
        <v>74.896213295051012</v>
      </c>
      <c r="BA27" s="58">
        <v>64.25</v>
      </c>
      <c r="BB27" s="58">
        <v>33.20985747823336</v>
      </c>
      <c r="BC27" s="58">
        <v>45.15026400419567</v>
      </c>
      <c r="BD27" s="58">
        <v>31.13088110281867</v>
      </c>
      <c r="BE27" s="58">
        <v>65.038289541307478</v>
      </c>
      <c r="BF27" s="58">
        <v>83.957509160068568</v>
      </c>
      <c r="BG27" s="58" t="s">
        <v>920</v>
      </c>
      <c r="BH27" s="58">
        <v>32.800912721049627</v>
      </c>
      <c r="BI27" s="58">
        <v>91.508850583597422</v>
      </c>
      <c r="BJ27" s="58">
        <v>24.459413109075538</v>
      </c>
      <c r="BK27" s="58">
        <v>47.302329734653441</v>
      </c>
      <c r="BL27" s="58">
        <v>30.017623780158015</v>
      </c>
      <c r="BM27" s="58">
        <v>80.545229244113997</v>
      </c>
      <c r="BN27" s="58" t="s">
        <v>920</v>
      </c>
      <c r="BO27" s="58">
        <v>34.16493312405656</v>
      </c>
      <c r="BP27" s="58">
        <v>51.840421168107056</v>
      </c>
      <c r="BQ27" s="58">
        <v>86.671179931812631</v>
      </c>
      <c r="BR27" s="58">
        <v>86.955216513230567</v>
      </c>
      <c r="BS27" s="58" t="s">
        <v>920</v>
      </c>
      <c r="BT27" s="58">
        <v>73.553883541031979</v>
      </c>
      <c r="BU27" s="58">
        <v>76.296139823662628</v>
      </c>
      <c r="BV27" s="58">
        <v>85.937499999912106</v>
      </c>
      <c r="BW27" s="58">
        <v>80.700387974960677</v>
      </c>
      <c r="BX27" s="58">
        <v>100</v>
      </c>
      <c r="BY27" s="58">
        <v>85.047698050601412</v>
      </c>
      <c r="BZ27" s="58">
        <v>76.809140922556068</v>
      </c>
      <c r="CA27" s="58">
        <v>97.873832468331898</v>
      </c>
      <c r="CB27" s="58">
        <v>66.033588177222825</v>
      </c>
      <c r="CC27" s="58" t="s">
        <v>920</v>
      </c>
      <c r="CD27" s="58">
        <v>60.709152617904103</v>
      </c>
      <c r="CE27" s="58">
        <v>61.744305202733344</v>
      </c>
      <c r="CF27" s="58">
        <v>74.887087051070438</v>
      </c>
      <c r="CG27" s="58">
        <v>27.527773927173659</v>
      </c>
      <c r="CH27" s="58">
        <v>79.311885612153716</v>
      </c>
      <c r="CI27" s="58">
        <v>79.6875</v>
      </c>
      <c r="CJ27" s="58">
        <v>81.122448979591837</v>
      </c>
      <c r="CK27" s="58">
        <v>86.704071339200638</v>
      </c>
      <c r="CL27" s="58">
        <v>100</v>
      </c>
      <c r="CM27" s="58">
        <v>61.622323930263477</v>
      </c>
      <c r="CN27" s="58">
        <v>95.454545454545453</v>
      </c>
      <c r="CO27" s="58">
        <v>85.791173304628629</v>
      </c>
      <c r="CP27" s="58">
        <v>86.556873738928516</v>
      </c>
      <c r="CQ27" s="58">
        <v>8</v>
      </c>
      <c r="CR27" s="58">
        <v>16</v>
      </c>
      <c r="CS27" s="58">
        <v>101</v>
      </c>
      <c r="CT27" s="58">
        <v>83</v>
      </c>
      <c r="CU27" s="58">
        <v>89</v>
      </c>
      <c r="CV27" s="58">
        <v>1</v>
      </c>
      <c r="CW27" s="58">
        <v>18</v>
      </c>
      <c r="CX27" s="58">
        <v>13</v>
      </c>
      <c r="CY27" s="58">
        <v>49</v>
      </c>
      <c r="CZ27" s="58">
        <v>59</v>
      </c>
      <c r="DA27" s="58">
        <v>34</v>
      </c>
      <c r="DB27" s="58">
        <v>26</v>
      </c>
      <c r="DC27" s="58">
        <v>13</v>
      </c>
      <c r="DD27" s="58">
        <v>16</v>
      </c>
      <c r="DE27" s="58">
        <v>35</v>
      </c>
      <c r="DF27" s="58">
        <v>37</v>
      </c>
      <c r="DG27" s="58">
        <v>14</v>
      </c>
      <c r="DH27" s="58" t="s">
        <v>920</v>
      </c>
      <c r="DI27" s="58">
        <v>20</v>
      </c>
      <c r="DJ27" s="58">
        <v>13</v>
      </c>
      <c r="DK27" s="58">
        <v>25</v>
      </c>
      <c r="DL27" s="58">
        <v>43</v>
      </c>
      <c r="DM27" s="58">
        <v>25</v>
      </c>
      <c r="DN27" s="58">
        <v>39</v>
      </c>
      <c r="DO27" s="58" t="s">
        <v>920</v>
      </c>
      <c r="DP27" s="58">
        <v>70</v>
      </c>
      <c r="DQ27" s="58">
        <v>8</v>
      </c>
      <c r="DR27" s="58">
        <v>22</v>
      </c>
      <c r="DS27" s="58">
        <v>66</v>
      </c>
      <c r="DT27" s="58" t="s">
        <v>920</v>
      </c>
      <c r="DU27" s="58">
        <v>19</v>
      </c>
      <c r="DV27" s="58">
        <v>19</v>
      </c>
      <c r="DW27" s="58">
        <v>30</v>
      </c>
      <c r="DX27" s="58">
        <v>13</v>
      </c>
      <c r="DY27" s="58">
        <v>1</v>
      </c>
      <c r="DZ27" s="58">
        <v>20</v>
      </c>
      <c r="EA27" s="58">
        <v>37</v>
      </c>
      <c r="EB27" s="58">
        <v>8</v>
      </c>
      <c r="EC27" s="58">
        <v>47</v>
      </c>
      <c r="ED27" s="58" t="s">
        <v>920</v>
      </c>
      <c r="EE27" s="58">
        <v>14</v>
      </c>
      <c r="EF27" s="58">
        <v>43</v>
      </c>
      <c r="EG27" s="58">
        <v>14</v>
      </c>
      <c r="EH27" s="58">
        <v>33</v>
      </c>
      <c r="EI27" s="58">
        <v>17</v>
      </c>
      <c r="EJ27" s="58">
        <v>49</v>
      </c>
      <c r="EK27" s="58">
        <v>31</v>
      </c>
      <c r="EL27" s="58">
        <v>22</v>
      </c>
      <c r="EM27" s="58">
        <v>1</v>
      </c>
      <c r="EN27" s="58">
        <v>19</v>
      </c>
      <c r="EO27" s="58">
        <v>20</v>
      </c>
      <c r="EP27" s="58">
        <v>29</v>
      </c>
      <c r="EQ27" s="58">
        <v>23</v>
      </c>
    </row>
    <row r="28" spans="1:147" x14ac:dyDescent="0.45">
      <c r="A28" t="s">
        <v>60</v>
      </c>
      <c r="B28" s="59" t="s">
        <v>308</v>
      </c>
      <c r="C28" s="37" t="s">
        <v>10</v>
      </c>
      <c r="D28" s="37" t="s">
        <v>880</v>
      </c>
      <c r="E28" s="104">
        <v>80466.384000000005</v>
      </c>
      <c r="F28" s="104">
        <v>388000</v>
      </c>
      <c r="G28" s="87">
        <v>66.095834722453191</v>
      </c>
      <c r="H28" s="1" t="s">
        <v>164</v>
      </c>
      <c r="I28" s="58">
        <v>22</v>
      </c>
      <c r="J28" s="87">
        <v>59.53872287635528</v>
      </c>
      <c r="K28" s="87">
        <v>59.666606793801854</v>
      </c>
      <c r="L28" s="87">
        <v>85.357302410388215</v>
      </c>
      <c r="M28" s="87">
        <v>59.820706809267371</v>
      </c>
      <c r="N28" s="58">
        <v>22</v>
      </c>
      <c r="O28" s="58">
        <v>13</v>
      </c>
      <c r="P28" s="58">
        <v>12</v>
      </c>
      <c r="Q28" s="58">
        <v>41</v>
      </c>
      <c r="R28" s="58">
        <v>72.998868643674086</v>
      </c>
      <c r="S28" s="58">
        <v>60.250264804131653</v>
      </c>
      <c r="T28" s="58">
        <v>45.367035181260086</v>
      </c>
      <c r="U28" s="58">
        <v>44.316234841273499</v>
      </c>
      <c r="V28" s="58">
        <v>74.607124610412015</v>
      </c>
      <c r="W28" s="58">
        <v>60.076460929720035</v>
      </c>
      <c r="X28" s="58">
        <v>91.014608281535345</v>
      </c>
      <c r="Y28" s="58">
        <v>77.410426163141423</v>
      </c>
      <c r="Z28" s="58">
        <v>87.646872786487862</v>
      </c>
      <c r="AA28" s="58">
        <v>23.836784147590198</v>
      </c>
      <c r="AB28" s="58">
        <v>93.991417247804733</v>
      </c>
      <c r="AC28" s="58">
        <v>61.633919032407178</v>
      </c>
      <c r="AD28" s="58">
        <v>52</v>
      </c>
      <c r="AE28" s="58">
        <v>6</v>
      </c>
      <c r="AF28" s="58">
        <v>36</v>
      </c>
      <c r="AG28" s="58">
        <v>92</v>
      </c>
      <c r="AH28" s="58">
        <v>2</v>
      </c>
      <c r="AI28" s="58">
        <v>23</v>
      </c>
      <c r="AJ28" s="58">
        <v>8</v>
      </c>
      <c r="AK28" s="58">
        <v>28</v>
      </c>
      <c r="AL28" s="58">
        <v>4</v>
      </c>
      <c r="AM28" s="58">
        <v>99</v>
      </c>
      <c r="AN28" s="58">
        <v>2</v>
      </c>
      <c r="AO28" s="58">
        <v>71</v>
      </c>
      <c r="AP28" s="58">
        <v>83.492413818513697</v>
      </c>
      <c r="AQ28" s="58">
        <v>97.441407199369252</v>
      </c>
      <c r="AR28" s="58">
        <v>9.1127435770829752</v>
      </c>
      <c r="AS28" s="58">
        <v>97.368421052631575</v>
      </c>
      <c r="AT28" s="58">
        <v>77.579357570772885</v>
      </c>
      <c r="AU28" s="58" t="s">
        <v>920</v>
      </c>
      <c r="AV28" s="58">
        <v>80.408061522170172</v>
      </c>
      <c r="AW28" s="58">
        <v>100</v>
      </c>
      <c r="AX28" s="58">
        <v>60.435922293210311</v>
      </c>
      <c r="AY28" s="58">
        <v>0.15707540114615282</v>
      </c>
      <c r="AZ28" s="58">
        <v>82.241746814504481</v>
      </c>
      <c r="BA28" s="58">
        <v>65.75</v>
      </c>
      <c r="BB28" s="58">
        <v>12.073923801159903</v>
      </c>
      <c r="BC28" s="58">
        <v>21.402470109375944</v>
      </c>
      <c r="BD28" s="58">
        <v>2.8362707925519066</v>
      </c>
      <c r="BE28" s="58">
        <v>82.479458441317917</v>
      </c>
      <c r="BF28" s="58">
        <v>78.201349321184253</v>
      </c>
      <c r="BG28" s="58" t="s">
        <v>920</v>
      </c>
      <c r="BH28" s="58">
        <v>13.747860810039928</v>
      </c>
      <c r="BI28" s="58">
        <v>92.643534959009486</v>
      </c>
      <c r="BJ28" s="58">
        <v>100</v>
      </c>
      <c r="BK28" s="58">
        <v>31.17783887222653</v>
      </c>
      <c r="BL28" s="58" t="s">
        <v>920</v>
      </c>
      <c r="BM28" s="58">
        <v>88.877660278389342</v>
      </c>
      <c r="BN28" s="58" t="s">
        <v>920</v>
      </c>
      <c r="BO28" s="58">
        <v>49.626130557662506</v>
      </c>
      <c r="BP28" s="58">
        <v>41.72559195310825</v>
      </c>
      <c r="BQ28" s="58">
        <v>91.34046606074314</v>
      </c>
      <c r="BR28" s="58">
        <v>98.589309323967854</v>
      </c>
      <c r="BS28" s="58" t="s">
        <v>920</v>
      </c>
      <c r="BT28" s="58">
        <v>83.114049459895057</v>
      </c>
      <c r="BU28" s="58">
        <v>74.371099173537431</v>
      </c>
      <c r="BV28" s="58">
        <v>84.999999999906251</v>
      </c>
      <c r="BW28" s="58">
        <v>73.89629501845593</v>
      </c>
      <c r="BX28" s="58">
        <v>75</v>
      </c>
      <c r="BY28" s="58">
        <v>78.784736623807547</v>
      </c>
      <c r="BZ28" s="58">
        <v>95.651713922979269</v>
      </c>
      <c r="CA28" s="58">
        <v>99.372767167834269</v>
      </c>
      <c r="CB28" s="58">
        <v>67.916137268650075</v>
      </c>
      <c r="CC28" s="58" t="s">
        <v>920</v>
      </c>
      <c r="CD28" s="58">
        <v>13.135989510227386</v>
      </c>
      <c r="CE28" s="58">
        <v>30.752060770561933</v>
      </c>
      <c r="CF28" s="58" t="s">
        <v>920</v>
      </c>
      <c r="CG28" s="58">
        <v>27.622302161981281</v>
      </c>
      <c r="CH28" s="58">
        <v>95.062555853440571</v>
      </c>
      <c r="CI28" s="58">
        <v>94.661458333333329</v>
      </c>
      <c r="CJ28" s="58">
        <v>92.34693877551021</v>
      </c>
      <c r="CK28" s="58">
        <v>92.153536337770319</v>
      </c>
      <c r="CL28" s="58">
        <v>100</v>
      </c>
      <c r="CM28" s="58">
        <v>45.459249864827846</v>
      </c>
      <c r="CN28" s="58">
        <v>100</v>
      </c>
      <c r="CO28" s="58">
        <v>1.0764262648008582</v>
      </c>
      <c r="CP28" s="58">
        <v>100</v>
      </c>
      <c r="CQ28" s="58">
        <v>30</v>
      </c>
      <c r="CR28" s="58">
        <v>12</v>
      </c>
      <c r="CS28" s="58">
        <v>111</v>
      </c>
      <c r="CT28" s="58">
        <v>57</v>
      </c>
      <c r="CU28" s="58">
        <v>29</v>
      </c>
      <c r="CV28" s="58" t="s">
        <v>920</v>
      </c>
      <c r="CW28" s="58">
        <v>7</v>
      </c>
      <c r="CX28" s="58">
        <v>1</v>
      </c>
      <c r="CY28" s="58">
        <v>77</v>
      </c>
      <c r="CZ28" s="58">
        <v>116</v>
      </c>
      <c r="DA28" s="58">
        <v>20</v>
      </c>
      <c r="DB28" s="58">
        <v>24</v>
      </c>
      <c r="DC28" s="58">
        <v>26</v>
      </c>
      <c r="DD28" s="58">
        <v>48</v>
      </c>
      <c r="DE28" s="58">
        <v>109</v>
      </c>
      <c r="DF28" s="58">
        <v>9</v>
      </c>
      <c r="DG28" s="58">
        <v>35</v>
      </c>
      <c r="DH28" s="58" t="s">
        <v>920</v>
      </c>
      <c r="DI28" s="58">
        <v>37</v>
      </c>
      <c r="DJ28" s="58">
        <v>8</v>
      </c>
      <c r="DK28" s="58">
        <v>1</v>
      </c>
      <c r="DL28" s="58">
        <v>106</v>
      </c>
      <c r="DM28" s="58" t="s">
        <v>920</v>
      </c>
      <c r="DN28" s="58">
        <v>20</v>
      </c>
      <c r="DO28" s="58" t="s">
        <v>920</v>
      </c>
      <c r="DP28" s="58">
        <v>36</v>
      </c>
      <c r="DQ28" s="58">
        <v>13</v>
      </c>
      <c r="DR28" s="58">
        <v>13</v>
      </c>
      <c r="DS28" s="58">
        <v>24</v>
      </c>
      <c r="DT28" s="58" t="s">
        <v>920</v>
      </c>
      <c r="DU28" s="58">
        <v>11</v>
      </c>
      <c r="DV28" s="58">
        <v>22</v>
      </c>
      <c r="DW28" s="58">
        <v>32</v>
      </c>
      <c r="DX28" s="58">
        <v>23</v>
      </c>
      <c r="DY28" s="58">
        <v>72</v>
      </c>
      <c r="DZ28" s="58">
        <v>29</v>
      </c>
      <c r="EA28" s="58">
        <v>7</v>
      </c>
      <c r="EB28" s="58">
        <v>4</v>
      </c>
      <c r="EC28" s="58">
        <v>35</v>
      </c>
      <c r="ED28" s="58" t="s">
        <v>920</v>
      </c>
      <c r="EE28" s="58">
        <v>28</v>
      </c>
      <c r="EF28" s="58">
        <v>123</v>
      </c>
      <c r="EG28" s="58" t="s">
        <v>920</v>
      </c>
      <c r="EH28" s="58">
        <v>32</v>
      </c>
      <c r="EI28" s="58">
        <v>3</v>
      </c>
      <c r="EJ28" s="58">
        <v>7</v>
      </c>
      <c r="EK28" s="58">
        <v>9</v>
      </c>
      <c r="EL28" s="58">
        <v>4</v>
      </c>
      <c r="EM28" s="58">
        <v>1</v>
      </c>
      <c r="EN28" s="58">
        <v>40</v>
      </c>
      <c r="EO28" s="58">
        <v>1</v>
      </c>
      <c r="EP28" s="58">
        <v>125</v>
      </c>
      <c r="EQ28" s="58">
        <v>1</v>
      </c>
    </row>
    <row r="29" spans="1:147" x14ac:dyDescent="0.45">
      <c r="A29" t="s">
        <v>56</v>
      </c>
      <c r="B29" s="59" t="s">
        <v>304</v>
      </c>
      <c r="C29" s="37" t="s">
        <v>31</v>
      </c>
      <c r="D29" s="37" t="s">
        <v>880</v>
      </c>
      <c r="E29" s="104">
        <v>55781.2</v>
      </c>
      <c r="F29" s="104">
        <v>5173000</v>
      </c>
      <c r="G29" s="87">
        <v>65.950218324453488</v>
      </c>
      <c r="H29" s="1" t="s">
        <v>159</v>
      </c>
      <c r="I29" s="58">
        <v>23</v>
      </c>
      <c r="J29" s="87">
        <v>56.423895278574598</v>
      </c>
      <c r="K29" s="87">
        <v>51.894439002024399</v>
      </c>
      <c r="L29" s="87">
        <v>85.576372087564309</v>
      </c>
      <c r="M29" s="87">
        <v>69.90616692965061</v>
      </c>
      <c r="N29" s="58">
        <v>28</v>
      </c>
      <c r="O29" s="58">
        <v>31</v>
      </c>
      <c r="P29" s="58">
        <v>11</v>
      </c>
      <c r="Q29" s="58">
        <v>20</v>
      </c>
      <c r="R29" s="58">
        <v>74.555644634113108</v>
      </c>
      <c r="S29" s="58">
        <v>47.989046630873773</v>
      </c>
      <c r="T29" s="58">
        <v>46.726994570736899</v>
      </c>
      <c r="U29" s="58">
        <v>47.620838696535429</v>
      </c>
      <c r="V29" s="58">
        <v>45.261269770844287</v>
      </c>
      <c r="W29" s="58">
        <v>62.801208538693487</v>
      </c>
      <c r="X29" s="58">
        <v>82.289628530379673</v>
      </c>
      <c r="Y29" s="58">
        <v>81.123863647860532</v>
      </c>
      <c r="Z29" s="58">
        <v>93.315624084452708</v>
      </c>
      <c r="AA29" s="58">
        <v>44.257280254754143</v>
      </c>
      <c r="AB29" s="58">
        <v>82.603547143064858</v>
      </c>
      <c r="AC29" s="58">
        <v>82.85767339113282</v>
      </c>
      <c r="AD29" s="58">
        <v>46</v>
      </c>
      <c r="AE29" s="58">
        <v>20</v>
      </c>
      <c r="AF29" s="58">
        <v>32</v>
      </c>
      <c r="AG29" s="58">
        <v>77</v>
      </c>
      <c r="AH29" s="58">
        <v>30</v>
      </c>
      <c r="AI29" s="58">
        <v>20</v>
      </c>
      <c r="AJ29" s="58">
        <v>28</v>
      </c>
      <c r="AK29" s="58">
        <v>17</v>
      </c>
      <c r="AL29" s="58">
        <v>1</v>
      </c>
      <c r="AM29" s="58">
        <v>29</v>
      </c>
      <c r="AN29" s="58">
        <v>14</v>
      </c>
      <c r="AO29" s="58">
        <v>20</v>
      </c>
      <c r="AP29" s="58">
        <v>77.715049585741497</v>
      </c>
      <c r="AQ29" s="58">
        <v>100</v>
      </c>
      <c r="AR29" s="58">
        <v>32.245479222726352</v>
      </c>
      <c r="AS29" s="58">
        <v>92.789473684210506</v>
      </c>
      <c r="AT29" s="58">
        <v>70.028220677887163</v>
      </c>
      <c r="AU29" s="58" t="s">
        <v>920</v>
      </c>
      <c r="AV29" s="58">
        <v>67.356854373812254</v>
      </c>
      <c r="AW29" s="58">
        <v>51.210033507487772</v>
      </c>
      <c r="AX29" s="58">
        <v>68.826455267149839</v>
      </c>
      <c r="AY29" s="58">
        <v>4.5628433750452224</v>
      </c>
      <c r="AZ29" s="58">
        <v>92.785831863812518</v>
      </c>
      <c r="BA29" s="58">
        <v>68.5</v>
      </c>
      <c r="BB29" s="58">
        <v>6.6694332305247404</v>
      </c>
      <c r="BC29" s="58">
        <v>18.95271318861035</v>
      </c>
      <c r="BD29" s="58">
        <v>7.0640463048328312</v>
      </c>
      <c r="BE29" s="58">
        <v>77.150730958254883</v>
      </c>
      <c r="BF29" s="58">
        <v>82.937145691907403</v>
      </c>
      <c r="BG29" s="58" t="s">
        <v>920</v>
      </c>
      <c r="BH29" s="58">
        <v>23.331431831146606</v>
      </c>
      <c r="BI29" s="58">
        <v>92.643534959009486</v>
      </c>
      <c r="BJ29" s="58">
        <v>13.916150819645349</v>
      </c>
      <c r="BK29" s="58">
        <v>48.046125486784398</v>
      </c>
      <c r="BL29" s="58">
        <v>26.439267817937928</v>
      </c>
      <c r="BM29" s="58">
        <v>93.419232203654914</v>
      </c>
      <c r="BN29" s="58">
        <v>62.925964041781704</v>
      </c>
      <c r="BO29" s="58">
        <v>71.85978456508731</v>
      </c>
      <c r="BP29" s="58">
        <v>22.999853344250027</v>
      </c>
      <c r="BQ29" s="58">
        <v>79.153758442273627</v>
      </c>
      <c r="BR29" s="58">
        <v>79.118525354957484</v>
      </c>
      <c r="BS29" s="58" t="s">
        <v>920</v>
      </c>
      <c r="BT29" s="58">
        <v>88.596601793907894</v>
      </c>
      <c r="BU29" s="58">
        <v>90.031118011640416</v>
      </c>
      <c r="BV29" s="58">
        <v>78.437499999865238</v>
      </c>
      <c r="BW29" s="58">
        <v>76.159410306602453</v>
      </c>
      <c r="BX29" s="58">
        <v>100</v>
      </c>
      <c r="BY29" s="58">
        <v>60.991289921194522</v>
      </c>
      <c r="BZ29" s="58">
        <v>92.752856538298772</v>
      </c>
      <c r="CA29" s="58">
        <v>93.878391630606643</v>
      </c>
      <c r="CB29" s="58" t="s">
        <v>920</v>
      </c>
      <c r="CC29" s="58" t="s">
        <v>920</v>
      </c>
      <c r="CD29" s="58">
        <v>36.312053359967372</v>
      </c>
      <c r="CE29" s="58">
        <v>53.529367818174393</v>
      </c>
      <c r="CF29" s="58">
        <v>73.104782585367261</v>
      </c>
      <c r="CG29" s="58">
        <v>14.08291725550758</v>
      </c>
      <c r="CH29" s="58">
        <v>82.484361036639868</v>
      </c>
      <c r="CI29" s="58">
        <v>80.338541666666657</v>
      </c>
      <c r="CJ29" s="58" t="s">
        <v>920</v>
      </c>
      <c r="CK29" s="58">
        <v>87.371930308711285</v>
      </c>
      <c r="CL29" s="58">
        <v>100</v>
      </c>
      <c r="CM29" s="58">
        <v>65.087321226917737</v>
      </c>
      <c r="CN29" s="58">
        <v>96.36363636363636</v>
      </c>
      <c r="CO29" s="58">
        <v>74.811625403659846</v>
      </c>
      <c r="CP29" s="58">
        <v>90.336221140634706</v>
      </c>
      <c r="CQ29" s="58">
        <v>42</v>
      </c>
      <c r="CR29" s="58">
        <v>1</v>
      </c>
      <c r="CS29" s="58">
        <v>60</v>
      </c>
      <c r="CT29" s="58">
        <v>77</v>
      </c>
      <c r="CU29" s="58">
        <v>70</v>
      </c>
      <c r="CV29" s="58" t="s">
        <v>920</v>
      </c>
      <c r="CW29" s="58">
        <v>12</v>
      </c>
      <c r="CX29" s="58">
        <v>16</v>
      </c>
      <c r="CY29" s="58">
        <v>45</v>
      </c>
      <c r="CZ29" s="58">
        <v>68</v>
      </c>
      <c r="DA29" s="58">
        <v>9</v>
      </c>
      <c r="DB29" s="58">
        <v>19</v>
      </c>
      <c r="DC29" s="58">
        <v>35</v>
      </c>
      <c r="DD29" s="58">
        <v>57</v>
      </c>
      <c r="DE29" s="58">
        <v>84</v>
      </c>
      <c r="DF29" s="58">
        <v>17</v>
      </c>
      <c r="DG29" s="58">
        <v>18</v>
      </c>
      <c r="DH29" s="58" t="s">
        <v>920</v>
      </c>
      <c r="DI29" s="58">
        <v>30</v>
      </c>
      <c r="DJ29" s="58">
        <v>8</v>
      </c>
      <c r="DK29" s="58">
        <v>39</v>
      </c>
      <c r="DL29" s="58">
        <v>41</v>
      </c>
      <c r="DM29" s="58">
        <v>29</v>
      </c>
      <c r="DN29" s="58">
        <v>8</v>
      </c>
      <c r="DO29" s="58">
        <v>17</v>
      </c>
      <c r="DP29" s="58">
        <v>18</v>
      </c>
      <c r="DQ29" s="58">
        <v>30</v>
      </c>
      <c r="DR29" s="58">
        <v>37</v>
      </c>
      <c r="DS29" s="58">
        <v>79</v>
      </c>
      <c r="DT29" s="58" t="s">
        <v>920</v>
      </c>
      <c r="DU29" s="58">
        <v>6</v>
      </c>
      <c r="DV29" s="58">
        <v>4</v>
      </c>
      <c r="DW29" s="58">
        <v>49</v>
      </c>
      <c r="DX29" s="58">
        <v>20</v>
      </c>
      <c r="DY29" s="58">
        <v>1</v>
      </c>
      <c r="DZ29" s="58">
        <v>70</v>
      </c>
      <c r="EA29" s="58">
        <v>12</v>
      </c>
      <c r="EB29" s="58">
        <v>23</v>
      </c>
      <c r="EC29" s="58" t="s">
        <v>920</v>
      </c>
      <c r="ED29" s="58" t="s">
        <v>920</v>
      </c>
      <c r="EE29" s="58">
        <v>21</v>
      </c>
      <c r="EF29" s="58">
        <v>64</v>
      </c>
      <c r="EG29" s="58">
        <v>18</v>
      </c>
      <c r="EH29" s="58">
        <v>62</v>
      </c>
      <c r="EI29" s="58">
        <v>12</v>
      </c>
      <c r="EJ29" s="58">
        <v>44</v>
      </c>
      <c r="EK29" s="58" t="s">
        <v>920</v>
      </c>
      <c r="EL29" s="58">
        <v>18</v>
      </c>
      <c r="EM29" s="58">
        <v>1</v>
      </c>
      <c r="EN29" s="58">
        <v>12</v>
      </c>
      <c r="EO29" s="58">
        <v>15</v>
      </c>
      <c r="EP29" s="58">
        <v>66</v>
      </c>
      <c r="EQ29" s="58">
        <v>20</v>
      </c>
    </row>
    <row r="30" spans="1:147" x14ac:dyDescent="0.45">
      <c r="A30" t="s">
        <v>41</v>
      </c>
      <c r="B30" s="59" t="s">
        <v>309</v>
      </c>
      <c r="C30" s="37" t="s">
        <v>31</v>
      </c>
      <c r="D30" s="37" t="s">
        <v>881</v>
      </c>
      <c r="E30" s="104">
        <v>29191.097000000002</v>
      </c>
      <c r="F30" s="104">
        <v>1422585000</v>
      </c>
      <c r="G30" s="87">
        <v>65.738859546693888</v>
      </c>
      <c r="H30" s="1" t="s">
        <v>168</v>
      </c>
      <c r="I30" s="58">
        <v>24</v>
      </c>
      <c r="J30" s="87">
        <v>64.374153225009096</v>
      </c>
      <c r="K30" s="87">
        <v>67.833059292613356</v>
      </c>
      <c r="L30" s="87">
        <v>66.601561561708692</v>
      </c>
      <c r="M30" s="87">
        <v>64.14666410744438</v>
      </c>
      <c r="N30" s="58">
        <v>12</v>
      </c>
      <c r="O30" s="58">
        <v>6</v>
      </c>
      <c r="P30" s="58">
        <v>50</v>
      </c>
      <c r="Q30" s="58">
        <v>30</v>
      </c>
      <c r="R30" s="58">
        <v>89.232335260651496</v>
      </c>
      <c r="S30" s="58">
        <v>52.294437243543939</v>
      </c>
      <c r="T30" s="58">
        <v>51.59568717083183</v>
      </c>
      <c r="U30" s="58">
        <v>91.616108540776338</v>
      </c>
      <c r="V30" s="58">
        <v>50.000633301024294</v>
      </c>
      <c r="W30" s="58">
        <v>61.882436036039429</v>
      </c>
      <c r="X30" s="58">
        <v>78.078396979880651</v>
      </c>
      <c r="Y30" s="58">
        <v>46.988269485583217</v>
      </c>
      <c r="Z30" s="58">
        <v>74.738018219662194</v>
      </c>
      <c r="AA30" s="58">
        <v>54.157042874685338</v>
      </c>
      <c r="AB30" s="58">
        <v>67.624323980468759</v>
      </c>
      <c r="AC30" s="58">
        <v>70.658625467179021</v>
      </c>
      <c r="AD30" s="58">
        <v>1</v>
      </c>
      <c r="AE30" s="58">
        <v>15</v>
      </c>
      <c r="AF30" s="58">
        <v>22</v>
      </c>
      <c r="AG30" s="58">
        <v>1</v>
      </c>
      <c r="AH30" s="58">
        <v>25</v>
      </c>
      <c r="AI30" s="58">
        <v>21</v>
      </c>
      <c r="AJ30" s="58">
        <v>36</v>
      </c>
      <c r="AK30" s="58">
        <v>106</v>
      </c>
      <c r="AL30" s="58">
        <v>38</v>
      </c>
      <c r="AM30" s="58">
        <v>17</v>
      </c>
      <c r="AN30" s="58">
        <v>60</v>
      </c>
      <c r="AO30" s="58">
        <v>48</v>
      </c>
      <c r="AP30" s="58">
        <v>78.961310269507507</v>
      </c>
      <c r="AQ30" s="58">
        <v>63.785270576925136</v>
      </c>
      <c r="AR30" s="58">
        <v>100</v>
      </c>
      <c r="AS30" s="58">
        <v>100</v>
      </c>
      <c r="AT30" s="58">
        <v>93.997383415230246</v>
      </c>
      <c r="AU30" s="58">
        <v>98.650047302246094</v>
      </c>
      <c r="AV30" s="58" t="s">
        <v>920</v>
      </c>
      <c r="AW30" s="58">
        <v>4.5888744870878808</v>
      </c>
      <c r="AX30" s="58" t="s">
        <v>920</v>
      </c>
      <c r="AY30" s="58">
        <v>100</v>
      </c>
      <c r="AZ30" s="58" t="s">
        <v>920</v>
      </c>
      <c r="BA30" s="58">
        <v>59.749999999999993</v>
      </c>
      <c r="BB30" s="58">
        <v>69.201639030584985</v>
      </c>
      <c r="BC30" s="58">
        <v>25.835422481910499</v>
      </c>
      <c r="BD30" s="58">
        <v>100</v>
      </c>
      <c r="BE30" s="58" t="s">
        <v>920</v>
      </c>
      <c r="BF30" s="58">
        <v>79.463710237713642</v>
      </c>
      <c r="BG30" s="58">
        <v>95.384615384615373</v>
      </c>
      <c r="BH30" s="58" t="s">
        <v>920</v>
      </c>
      <c r="BI30" s="58">
        <v>21.597879315597304</v>
      </c>
      <c r="BJ30" s="58">
        <v>24.304299444977755</v>
      </c>
      <c r="BK30" s="58">
        <v>85.766359889356551</v>
      </c>
      <c r="BL30" s="58">
        <v>68.333994554165571</v>
      </c>
      <c r="BM30" s="58">
        <v>91.068442391212812</v>
      </c>
      <c r="BN30" s="58">
        <v>54.01677042733386</v>
      </c>
      <c r="BO30" s="58" t="s">
        <v>920</v>
      </c>
      <c r="BP30" s="58">
        <v>40.562095289571623</v>
      </c>
      <c r="BQ30" s="58">
        <v>58.370839109949735</v>
      </c>
      <c r="BR30" s="58">
        <v>90.059892512301246</v>
      </c>
      <c r="BS30" s="58" t="s">
        <v>920</v>
      </c>
      <c r="BT30" s="58">
        <v>85.80445931739095</v>
      </c>
      <c r="BU30" s="58">
        <v>33.306909683007987</v>
      </c>
      <c r="BV30" s="58">
        <v>30.624999999566406</v>
      </c>
      <c r="BW30" s="58">
        <v>83.856803983417194</v>
      </c>
      <c r="BX30" s="58">
        <v>75</v>
      </c>
      <c r="BY30" s="58">
        <v>12.152633761924509</v>
      </c>
      <c r="BZ30" s="58">
        <v>92.752856538298772</v>
      </c>
      <c r="CA30" s="58">
        <v>77.120741069037578</v>
      </c>
      <c r="CB30" s="58">
        <v>67.16765714833474</v>
      </c>
      <c r="CC30" s="58">
        <v>61.910818122977652</v>
      </c>
      <c r="CD30" s="58">
        <v>42.642023919801922</v>
      </c>
      <c r="CE30" s="58">
        <v>100</v>
      </c>
      <c r="CF30" s="58" t="s">
        <v>920</v>
      </c>
      <c r="CG30" s="58">
        <v>19.829104704254082</v>
      </c>
      <c r="CH30" s="58">
        <v>59.450402144772127</v>
      </c>
      <c r="CI30" s="58">
        <v>67.708333333333343</v>
      </c>
      <c r="CJ30" s="58">
        <v>68.877551020408163</v>
      </c>
      <c r="CK30" s="58">
        <v>82.550921906193395</v>
      </c>
      <c r="CL30" s="58">
        <v>100</v>
      </c>
      <c r="CM30" s="58">
        <v>100</v>
      </c>
      <c r="CN30" s="58">
        <v>68.181818181818173</v>
      </c>
      <c r="CO30" s="58">
        <v>51.560818083961244</v>
      </c>
      <c r="CP30" s="58">
        <v>25.783731205873281</v>
      </c>
      <c r="CQ30" s="58">
        <v>38</v>
      </c>
      <c r="CR30" s="58">
        <v>66</v>
      </c>
      <c r="CS30" s="58">
        <v>1</v>
      </c>
      <c r="CT30" s="58">
        <v>1</v>
      </c>
      <c r="CU30" s="58">
        <v>3</v>
      </c>
      <c r="CV30" s="58">
        <v>41</v>
      </c>
      <c r="CW30" s="58" t="s">
        <v>920</v>
      </c>
      <c r="CX30" s="58">
        <v>62</v>
      </c>
      <c r="CY30" s="58" t="s">
        <v>920</v>
      </c>
      <c r="CZ30" s="58">
        <v>1</v>
      </c>
      <c r="DA30" s="58" t="s">
        <v>920</v>
      </c>
      <c r="DB30" s="58">
        <v>33</v>
      </c>
      <c r="DC30" s="58">
        <v>3</v>
      </c>
      <c r="DD30" s="58">
        <v>33</v>
      </c>
      <c r="DE30" s="58">
        <v>1</v>
      </c>
      <c r="DF30" s="58" t="s">
        <v>920</v>
      </c>
      <c r="DG30" s="58">
        <v>31</v>
      </c>
      <c r="DH30" s="58">
        <v>34</v>
      </c>
      <c r="DI30" s="58" t="s">
        <v>920</v>
      </c>
      <c r="DJ30" s="58">
        <v>102</v>
      </c>
      <c r="DK30" s="58">
        <v>26</v>
      </c>
      <c r="DL30" s="58">
        <v>3</v>
      </c>
      <c r="DM30" s="58">
        <v>2</v>
      </c>
      <c r="DN30" s="58">
        <v>11</v>
      </c>
      <c r="DO30" s="58">
        <v>26</v>
      </c>
      <c r="DP30" s="58" t="s">
        <v>920</v>
      </c>
      <c r="DQ30" s="58">
        <v>14</v>
      </c>
      <c r="DR30" s="58">
        <v>68</v>
      </c>
      <c r="DS30" s="58">
        <v>60</v>
      </c>
      <c r="DT30" s="58" t="s">
        <v>920</v>
      </c>
      <c r="DU30" s="58">
        <v>10</v>
      </c>
      <c r="DV30" s="58">
        <v>91</v>
      </c>
      <c r="DW30" s="58">
        <v>119</v>
      </c>
      <c r="DX30" s="58">
        <v>7</v>
      </c>
      <c r="DY30" s="58">
        <v>72</v>
      </c>
      <c r="DZ30" s="58">
        <v>124</v>
      </c>
      <c r="EA30" s="58">
        <v>12</v>
      </c>
      <c r="EB30" s="58">
        <v>55</v>
      </c>
      <c r="EC30" s="58">
        <v>40</v>
      </c>
      <c r="ED30" s="58">
        <v>43</v>
      </c>
      <c r="EE30" s="58">
        <v>19</v>
      </c>
      <c r="EF30" s="58">
        <v>1</v>
      </c>
      <c r="EG30" s="58" t="s">
        <v>920</v>
      </c>
      <c r="EH30" s="58">
        <v>49</v>
      </c>
      <c r="EI30" s="58">
        <v>66</v>
      </c>
      <c r="EJ30" s="58">
        <v>72</v>
      </c>
      <c r="EK30" s="58">
        <v>64</v>
      </c>
      <c r="EL30" s="58">
        <v>28</v>
      </c>
      <c r="EM30" s="58">
        <v>1</v>
      </c>
      <c r="EN30" s="58">
        <v>1</v>
      </c>
      <c r="EO30" s="58">
        <v>93</v>
      </c>
      <c r="EP30" s="58">
        <v>108</v>
      </c>
      <c r="EQ30" s="58">
        <v>116</v>
      </c>
    </row>
    <row r="31" spans="1:147" x14ac:dyDescent="0.45">
      <c r="A31" t="s">
        <v>59</v>
      </c>
      <c r="B31" s="59" t="s">
        <v>312</v>
      </c>
      <c r="C31" s="37" t="s">
        <v>10</v>
      </c>
      <c r="D31" s="37" t="s">
        <v>880</v>
      </c>
      <c r="E31" s="104">
        <v>56887.928</v>
      </c>
      <c r="F31" s="104">
        <v>47912000</v>
      </c>
      <c r="G31" s="87">
        <v>65.424993759319136</v>
      </c>
      <c r="H31" s="1" t="s">
        <v>162</v>
      </c>
      <c r="I31" s="58">
        <v>25</v>
      </c>
      <c r="J31" s="87">
        <v>58.276972511001965</v>
      </c>
      <c r="K31" s="87">
        <v>55.534093572135703</v>
      </c>
      <c r="L31" s="87">
        <v>81.694094182251462</v>
      </c>
      <c r="M31" s="87">
        <v>66.194814771887451</v>
      </c>
      <c r="N31" s="58">
        <v>23</v>
      </c>
      <c r="O31" s="58">
        <v>21</v>
      </c>
      <c r="P31" s="58">
        <v>22</v>
      </c>
      <c r="Q31" s="58">
        <v>25</v>
      </c>
      <c r="R31" s="58">
        <v>84.394847402860009</v>
      </c>
      <c r="S31" s="58">
        <v>42.103747213877838</v>
      </c>
      <c r="T31" s="58">
        <v>48.332322916268041</v>
      </c>
      <c r="U31" s="58">
        <v>59.901448608933563</v>
      </c>
      <c r="V31" s="58">
        <v>52.563917218499775</v>
      </c>
      <c r="W31" s="58">
        <v>54.136914888973749</v>
      </c>
      <c r="X31" s="58">
        <v>83.06056334245406</v>
      </c>
      <c r="Y31" s="58">
        <v>79.148918958113143</v>
      </c>
      <c r="Z31" s="58">
        <v>82.872800246187182</v>
      </c>
      <c r="AA31" s="58">
        <v>40.53180023540483</v>
      </c>
      <c r="AB31" s="58">
        <v>72.93544793088256</v>
      </c>
      <c r="AC31" s="58">
        <v>85.117196149374962</v>
      </c>
      <c r="AD31" s="58">
        <v>6</v>
      </c>
      <c r="AE31" s="58">
        <v>31</v>
      </c>
      <c r="AF31" s="58">
        <v>27</v>
      </c>
      <c r="AG31" s="58">
        <v>26</v>
      </c>
      <c r="AH31" s="58">
        <v>21</v>
      </c>
      <c r="AI31" s="58">
        <v>27</v>
      </c>
      <c r="AJ31" s="58">
        <v>23</v>
      </c>
      <c r="AK31" s="58">
        <v>22</v>
      </c>
      <c r="AL31" s="58">
        <v>16</v>
      </c>
      <c r="AM31" s="58">
        <v>37</v>
      </c>
      <c r="AN31" s="58">
        <v>41</v>
      </c>
      <c r="AO31" s="58">
        <v>9</v>
      </c>
      <c r="AP31" s="58">
        <v>88.628157959763598</v>
      </c>
      <c r="AQ31" s="58">
        <v>90.889157607182483</v>
      </c>
      <c r="AR31" s="58">
        <v>56.294278706694612</v>
      </c>
      <c r="AS31" s="58">
        <v>98.421052631578959</v>
      </c>
      <c r="AT31" s="58">
        <v>72.136437511940386</v>
      </c>
      <c r="AU31" s="58">
        <v>100</v>
      </c>
      <c r="AV31" s="58">
        <v>35.867928880745289</v>
      </c>
      <c r="AW31" s="58">
        <v>24.901210308758742</v>
      </c>
      <c r="AX31" s="58">
        <v>70.527621110313092</v>
      </c>
      <c r="AY31" s="58">
        <v>37.118228555694223</v>
      </c>
      <c r="AZ31" s="58">
        <v>71.905407721569802</v>
      </c>
      <c r="BA31" s="58">
        <v>43.000000000000007</v>
      </c>
      <c r="BB31" s="58">
        <v>22.240075228487822</v>
      </c>
      <c r="BC31" s="58">
        <v>56.183808715014536</v>
      </c>
      <c r="BD31" s="58">
        <v>38.771606025784507</v>
      </c>
      <c r="BE31" s="58">
        <v>51.698073513357045</v>
      </c>
      <c r="BF31" s="58">
        <v>87.588618839239857</v>
      </c>
      <c r="BG31" s="58">
        <v>100</v>
      </c>
      <c r="BH31" s="58">
        <v>21.448944666286366</v>
      </c>
      <c r="BI31" s="58">
        <v>88.096612997831116</v>
      </c>
      <c r="BJ31" s="58">
        <v>18.681768696265546</v>
      </c>
      <c r="BK31" s="58">
        <v>63.232910797433405</v>
      </c>
      <c r="BL31" s="58">
        <v>40.244376382469035</v>
      </c>
      <c r="BM31" s="58">
        <v>88.621407345917405</v>
      </c>
      <c r="BN31" s="58">
        <v>78.395499760901814</v>
      </c>
      <c r="BO31" s="58">
        <v>26.060214633853274</v>
      </c>
      <c r="BP31" s="58">
        <v>23.470537815222517</v>
      </c>
      <c r="BQ31" s="58">
        <v>83.035204304151861</v>
      </c>
      <c r="BR31" s="58">
        <v>99.688236235631209</v>
      </c>
      <c r="BS31" s="58" t="s">
        <v>920</v>
      </c>
      <c r="BT31" s="58">
        <v>66.45824948757911</v>
      </c>
      <c r="BU31" s="58">
        <v>59.589569320776462</v>
      </c>
      <c r="BV31" s="58">
        <v>83.124999999894527</v>
      </c>
      <c r="BW31" s="58">
        <v>65.203397514689414</v>
      </c>
      <c r="BX31" s="58">
        <v>100</v>
      </c>
      <c r="BY31" s="58">
        <v>87.826627955205311</v>
      </c>
      <c r="BZ31" s="58">
        <v>79.707998307236565</v>
      </c>
      <c r="CA31" s="58">
        <v>99.39991530917986</v>
      </c>
      <c r="CB31" s="58">
        <v>69.510487122145136</v>
      </c>
      <c r="CC31" s="58" t="s">
        <v>920</v>
      </c>
      <c r="CD31" s="58">
        <v>13.439169928486617</v>
      </c>
      <c r="CE31" s="58">
        <v>74.961003639685245</v>
      </c>
      <c r="CF31" s="58">
        <v>46.027452601811021</v>
      </c>
      <c r="CG31" s="58">
        <v>27.699574771636428</v>
      </c>
      <c r="CH31" s="58">
        <v>71.626452189454881</v>
      </c>
      <c r="CI31" s="58">
        <v>63.802083333333329</v>
      </c>
      <c r="CJ31" s="58">
        <v>75.510204081632651</v>
      </c>
      <c r="CK31" s="58">
        <v>91.245412458086292</v>
      </c>
      <c r="CL31" s="58">
        <v>100</v>
      </c>
      <c r="CM31" s="58">
        <v>57.901906289192183</v>
      </c>
      <c r="CN31" s="58">
        <v>100</v>
      </c>
      <c r="CO31" s="58">
        <v>86.114101184068886</v>
      </c>
      <c r="CP31" s="58">
        <v>92.905554248477586</v>
      </c>
      <c r="CQ31" s="58">
        <v>13</v>
      </c>
      <c r="CR31" s="58">
        <v>27</v>
      </c>
      <c r="CS31" s="58">
        <v>16</v>
      </c>
      <c r="CT31" s="58">
        <v>48</v>
      </c>
      <c r="CU31" s="58">
        <v>61</v>
      </c>
      <c r="CV31" s="58">
        <v>1</v>
      </c>
      <c r="CW31" s="58">
        <v>31</v>
      </c>
      <c r="CX31" s="58">
        <v>30</v>
      </c>
      <c r="CY31" s="58">
        <v>34</v>
      </c>
      <c r="CZ31" s="58">
        <v>21</v>
      </c>
      <c r="DA31" s="58">
        <v>37</v>
      </c>
      <c r="DB31" s="58">
        <v>55</v>
      </c>
      <c r="DC31" s="58">
        <v>21</v>
      </c>
      <c r="DD31" s="58">
        <v>2</v>
      </c>
      <c r="DE31" s="58">
        <v>25</v>
      </c>
      <c r="DF31" s="58">
        <v>63</v>
      </c>
      <c r="DG31" s="58">
        <v>6</v>
      </c>
      <c r="DH31" s="58">
        <v>1</v>
      </c>
      <c r="DI31" s="58">
        <v>33</v>
      </c>
      <c r="DJ31" s="58">
        <v>16</v>
      </c>
      <c r="DK31" s="58">
        <v>29</v>
      </c>
      <c r="DL31" s="58">
        <v>12</v>
      </c>
      <c r="DM31" s="58">
        <v>14</v>
      </c>
      <c r="DN31" s="58">
        <v>22</v>
      </c>
      <c r="DO31" s="58">
        <v>3</v>
      </c>
      <c r="DP31" s="58">
        <v>85</v>
      </c>
      <c r="DQ31" s="58">
        <v>28</v>
      </c>
      <c r="DR31" s="58">
        <v>31</v>
      </c>
      <c r="DS31" s="58">
        <v>16</v>
      </c>
      <c r="DT31" s="58" t="s">
        <v>920</v>
      </c>
      <c r="DU31" s="58">
        <v>24</v>
      </c>
      <c r="DV31" s="58">
        <v>38</v>
      </c>
      <c r="DW31" s="58">
        <v>34</v>
      </c>
      <c r="DX31" s="58">
        <v>30</v>
      </c>
      <c r="DY31" s="58">
        <v>1</v>
      </c>
      <c r="DZ31" s="58">
        <v>17</v>
      </c>
      <c r="EA31" s="58">
        <v>33</v>
      </c>
      <c r="EB31" s="58">
        <v>3</v>
      </c>
      <c r="EC31" s="58">
        <v>20</v>
      </c>
      <c r="ED31" s="58" t="s">
        <v>920</v>
      </c>
      <c r="EE31" s="58">
        <v>27</v>
      </c>
      <c r="EF31" s="58">
        <v>15</v>
      </c>
      <c r="EG31" s="58">
        <v>54</v>
      </c>
      <c r="EH31" s="58">
        <v>31</v>
      </c>
      <c r="EI31" s="58">
        <v>35</v>
      </c>
      <c r="EJ31" s="58">
        <v>82</v>
      </c>
      <c r="EK31" s="58">
        <v>42</v>
      </c>
      <c r="EL31" s="58">
        <v>9</v>
      </c>
      <c r="EM31" s="58">
        <v>1</v>
      </c>
      <c r="EN31" s="58">
        <v>28</v>
      </c>
      <c r="EO31" s="58">
        <v>1</v>
      </c>
      <c r="EP31" s="58">
        <v>28</v>
      </c>
      <c r="EQ31" s="58">
        <v>13</v>
      </c>
    </row>
    <row r="32" spans="1:147" x14ac:dyDescent="0.45">
      <c r="A32" t="s">
        <v>26</v>
      </c>
      <c r="B32" s="59" t="s">
        <v>313</v>
      </c>
      <c r="C32" s="37" t="s">
        <v>29</v>
      </c>
      <c r="D32" s="37" t="s">
        <v>880</v>
      </c>
      <c r="E32" s="104">
        <v>84402.77</v>
      </c>
      <c r="F32" s="104">
        <v>10642000</v>
      </c>
      <c r="G32" s="87">
        <v>62.601984397023521</v>
      </c>
      <c r="H32" s="1" t="s">
        <v>173</v>
      </c>
      <c r="I32" s="58">
        <v>26</v>
      </c>
      <c r="J32" s="87">
        <v>60.248529695131403</v>
      </c>
      <c r="K32" s="87">
        <v>57.122626289966497</v>
      </c>
      <c r="L32" s="87">
        <v>70.238322653992682</v>
      </c>
      <c r="M32" s="87">
        <v>62.798458949003496</v>
      </c>
      <c r="N32" s="58">
        <v>17</v>
      </c>
      <c r="O32" s="58">
        <v>19</v>
      </c>
      <c r="P32" s="58">
        <v>42</v>
      </c>
      <c r="Q32" s="58">
        <v>34</v>
      </c>
      <c r="R32" s="58">
        <v>84.897332707177569</v>
      </c>
      <c r="S32" s="58">
        <v>27.737949993738361</v>
      </c>
      <c r="T32" s="58">
        <v>68.110306384478278</v>
      </c>
      <c r="U32" s="58">
        <v>66.368376531931261</v>
      </c>
      <c r="V32" s="58">
        <v>37.827836939980877</v>
      </c>
      <c r="W32" s="58">
        <v>67.171665397987368</v>
      </c>
      <c r="X32" s="58">
        <v>65.32990801254364</v>
      </c>
      <c r="Y32" s="58">
        <v>67.051398793182969</v>
      </c>
      <c r="Z32" s="58">
        <v>78.333661156251438</v>
      </c>
      <c r="AA32" s="58">
        <v>38.418733801043437</v>
      </c>
      <c r="AB32" s="58">
        <v>84.572105501481303</v>
      </c>
      <c r="AC32" s="58">
        <v>65.404537544485748</v>
      </c>
      <c r="AD32" s="58">
        <v>5</v>
      </c>
      <c r="AE32" s="58">
        <v>54</v>
      </c>
      <c r="AF32" s="58">
        <v>6</v>
      </c>
      <c r="AG32" s="58">
        <v>16</v>
      </c>
      <c r="AH32" s="58">
        <v>41</v>
      </c>
      <c r="AI32" s="58">
        <v>11</v>
      </c>
      <c r="AJ32" s="58">
        <v>55</v>
      </c>
      <c r="AK32" s="58">
        <v>50</v>
      </c>
      <c r="AL32" s="58">
        <v>28</v>
      </c>
      <c r="AM32" s="58">
        <v>42</v>
      </c>
      <c r="AN32" s="58">
        <v>11</v>
      </c>
      <c r="AO32" s="58">
        <v>61</v>
      </c>
      <c r="AP32" s="58">
        <v>86.250968355102998</v>
      </c>
      <c r="AQ32" s="58">
        <v>100</v>
      </c>
      <c r="AR32" s="58">
        <v>39.363265802851075</v>
      </c>
      <c r="AS32" s="58">
        <v>100</v>
      </c>
      <c r="AT32" s="58">
        <v>83.76976208511141</v>
      </c>
      <c r="AU32" s="58">
        <v>100</v>
      </c>
      <c r="AV32" s="58">
        <v>14.259897090511013</v>
      </c>
      <c r="AW32" s="58">
        <v>10.236831296361869</v>
      </c>
      <c r="AX32" s="58">
        <v>77.283309902085151</v>
      </c>
      <c r="AY32" s="58">
        <v>9.1717616859954187</v>
      </c>
      <c r="AZ32" s="58">
        <v>99.137382654017856</v>
      </c>
      <c r="BA32" s="58">
        <v>79.5</v>
      </c>
      <c r="BB32" s="58" t="s">
        <v>920</v>
      </c>
      <c r="BC32" s="58">
        <v>25.69353649941694</v>
      </c>
      <c r="BD32" s="58">
        <v>31.609918971930124</v>
      </c>
      <c r="BE32" s="58">
        <v>84.796580683919458</v>
      </c>
      <c r="BF32" s="58">
        <v>99.232829140100534</v>
      </c>
      <c r="BG32" s="58">
        <v>98.461538461538453</v>
      </c>
      <c r="BH32" s="58">
        <v>17.741015402167715</v>
      </c>
      <c r="BI32" s="58" t="s">
        <v>920</v>
      </c>
      <c r="BJ32" s="58">
        <v>35.109636834082465</v>
      </c>
      <c r="BK32" s="58">
        <v>51.302452502341211</v>
      </c>
      <c r="BL32" s="58">
        <v>27.071421483518947</v>
      </c>
      <c r="BM32" s="58">
        <v>89.926733316490427</v>
      </c>
      <c r="BN32" s="58">
        <v>57.541897116960861</v>
      </c>
      <c r="BO32" s="58">
        <v>97.730498584377841</v>
      </c>
      <c r="BP32" s="58">
        <v>23.487532574120308</v>
      </c>
      <c r="BQ32" s="58">
        <v>67.245851840830767</v>
      </c>
      <c r="BR32" s="58">
        <v>100</v>
      </c>
      <c r="BS32" s="58" t="s">
        <v>920</v>
      </c>
      <c r="BT32" s="58">
        <v>28.743872196800137</v>
      </c>
      <c r="BU32" s="58">
        <v>68.313829288029552</v>
      </c>
      <c r="BV32" s="58">
        <v>75.62499999984766</v>
      </c>
      <c r="BW32" s="58">
        <v>81.882245972106446</v>
      </c>
      <c r="BX32" s="58">
        <v>100</v>
      </c>
      <c r="BY32" s="58">
        <v>9.4359187059311491</v>
      </c>
      <c r="BZ32" s="58">
        <v>76.809140922556068</v>
      </c>
      <c r="CA32" s="58">
        <v>90.265380654090464</v>
      </c>
      <c r="CB32" s="58">
        <v>67.92646189210781</v>
      </c>
      <c r="CC32" s="58" t="s">
        <v>920</v>
      </c>
      <c r="CD32" s="58">
        <v>4.9931181251817049</v>
      </c>
      <c r="CE32" s="58">
        <v>64.059014670444469</v>
      </c>
      <c r="CF32" s="58">
        <v>72.284171356249445</v>
      </c>
      <c r="CG32" s="58">
        <v>12.338631052298139</v>
      </c>
      <c r="CH32" s="58">
        <v>78.172475424486166</v>
      </c>
      <c r="CI32" s="58">
        <v>89.843750000000014</v>
      </c>
      <c r="CJ32" s="58">
        <v>93.367346938775512</v>
      </c>
      <c r="CK32" s="58">
        <v>78.032835221140004</v>
      </c>
      <c r="CL32" s="58">
        <v>100</v>
      </c>
      <c r="CM32" s="58">
        <v>36.992148842805584</v>
      </c>
      <c r="CN32" s="58">
        <v>74.545454545454547</v>
      </c>
      <c r="CO32" s="58">
        <v>54.897739504843912</v>
      </c>
      <c r="CP32" s="58">
        <v>90.365614569677874</v>
      </c>
      <c r="CQ32" s="58">
        <v>22</v>
      </c>
      <c r="CR32" s="58">
        <v>1</v>
      </c>
      <c r="CS32" s="58">
        <v>43</v>
      </c>
      <c r="CT32" s="58">
        <v>1</v>
      </c>
      <c r="CU32" s="58">
        <v>15</v>
      </c>
      <c r="CV32" s="58">
        <v>1</v>
      </c>
      <c r="CW32" s="58">
        <v>50</v>
      </c>
      <c r="CX32" s="58">
        <v>44</v>
      </c>
      <c r="CY32" s="58">
        <v>12</v>
      </c>
      <c r="CZ32" s="58">
        <v>48</v>
      </c>
      <c r="DA32" s="58">
        <v>3</v>
      </c>
      <c r="DB32" s="58">
        <v>10</v>
      </c>
      <c r="DC32" s="58" t="s">
        <v>920</v>
      </c>
      <c r="DD32" s="58">
        <v>34</v>
      </c>
      <c r="DE32" s="58">
        <v>33</v>
      </c>
      <c r="DF32" s="58">
        <v>7</v>
      </c>
      <c r="DG32" s="58">
        <v>2</v>
      </c>
      <c r="DH32" s="58">
        <v>16</v>
      </c>
      <c r="DI32" s="58">
        <v>36</v>
      </c>
      <c r="DJ32" s="58" t="s">
        <v>920</v>
      </c>
      <c r="DK32" s="58">
        <v>18</v>
      </c>
      <c r="DL32" s="58">
        <v>29</v>
      </c>
      <c r="DM32" s="58">
        <v>28</v>
      </c>
      <c r="DN32" s="58">
        <v>16</v>
      </c>
      <c r="DO32" s="58">
        <v>20</v>
      </c>
      <c r="DP32" s="58">
        <v>2</v>
      </c>
      <c r="DQ32" s="58">
        <v>27</v>
      </c>
      <c r="DR32" s="58">
        <v>59</v>
      </c>
      <c r="DS32" s="58">
        <v>1</v>
      </c>
      <c r="DT32" s="58" t="s">
        <v>920</v>
      </c>
      <c r="DU32" s="58">
        <v>61</v>
      </c>
      <c r="DV32" s="58">
        <v>30</v>
      </c>
      <c r="DW32" s="58">
        <v>59</v>
      </c>
      <c r="DX32" s="58">
        <v>9</v>
      </c>
      <c r="DY32" s="58">
        <v>1</v>
      </c>
      <c r="DZ32" s="58">
        <v>125</v>
      </c>
      <c r="EA32" s="58">
        <v>37</v>
      </c>
      <c r="EB32" s="58">
        <v>29</v>
      </c>
      <c r="EC32" s="58">
        <v>31</v>
      </c>
      <c r="ED32" s="58" t="s">
        <v>920</v>
      </c>
      <c r="EE32" s="58">
        <v>37</v>
      </c>
      <c r="EF32" s="58">
        <v>37</v>
      </c>
      <c r="EG32" s="58">
        <v>20</v>
      </c>
      <c r="EH32" s="58">
        <v>66</v>
      </c>
      <c r="EI32" s="58">
        <v>21</v>
      </c>
      <c r="EJ32" s="58">
        <v>15</v>
      </c>
      <c r="EK32" s="58">
        <v>7</v>
      </c>
      <c r="EL32" s="58">
        <v>33</v>
      </c>
      <c r="EM32" s="58">
        <v>1</v>
      </c>
      <c r="EN32" s="58">
        <v>46</v>
      </c>
      <c r="EO32" s="58">
        <v>72</v>
      </c>
      <c r="EP32" s="58">
        <v>105</v>
      </c>
      <c r="EQ32" s="58">
        <v>19</v>
      </c>
    </row>
    <row r="33" spans="1:147" x14ac:dyDescent="0.45">
      <c r="A33" t="s">
        <v>64</v>
      </c>
      <c r="B33" s="59" t="s">
        <v>320</v>
      </c>
      <c r="C33" s="37" t="s">
        <v>10</v>
      </c>
      <c r="D33" s="37" t="s">
        <v>880</v>
      </c>
      <c r="E33" s="104">
        <v>57201.425000000003</v>
      </c>
      <c r="F33" s="104">
        <v>2854000</v>
      </c>
      <c r="G33" s="87">
        <v>62.59701162715497</v>
      </c>
      <c r="H33" s="1" t="s">
        <v>169</v>
      </c>
      <c r="I33" s="58">
        <v>27</v>
      </c>
      <c r="J33" s="87">
        <v>51.426432704718934</v>
      </c>
      <c r="K33" s="87">
        <v>52.873633685499634</v>
      </c>
      <c r="L33" s="87">
        <v>84.17239170682528</v>
      </c>
      <c r="M33" s="87">
        <v>61.915588411576046</v>
      </c>
      <c r="N33" s="58">
        <v>37</v>
      </c>
      <c r="O33" s="58">
        <v>28</v>
      </c>
      <c r="P33" s="58">
        <v>16</v>
      </c>
      <c r="Q33" s="58">
        <v>38</v>
      </c>
      <c r="R33" s="58">
        <v>79.469999424632405</v>
      </c>
      <c r="S33" s="58">
        <v>36.57057851218687</v>
      </c>
      <c r="T33" s="58">
        <v>38.238720177337541</v>
      </c>
      <c r="U33" s="58">
        <v>62.580644076958414</v>
      </c>
      <c r="V33" s="58">
        <v>46.339799277216436</v>
      </c>
      <c r="W33" s="58">
        <v>49.700457702324051</v>
      </c>
      <c r="X33" s="58">
        <v>81.392967730576473</v>
      </c>
      <c r="Y33" s="58">
        <v>87.673545647002101</v>
      </c>
      <c r="Z33" s="58">
        <v>83.450661742897225</v>
      </c>
      <c r="AA33" s="58">
        <v>38.751955242744941</v>
      </c>
      <c r="AB33" s="58">
        <v>69.192762076645167</v>
      </c>
      <c r="AC33" s="58">
        <v>77.802047915338036</v>
      </c>
      <c r="AD33" s="58">
        <v>21</v>
      </c>
      <c r="AE33" s="58">
        <v>44</v>
      </c>
      <c r="AF33" s="58">
        <v>49</v>
      </c>
      <c r="AG33" s="58">
        <v>22</v>
      </c>
      <c r="AH33" s="58">
        <v>28</v>
      </c>
      <c r="AI33" s="58">
        <v>35</v>
      </c>
      <c r="AJ33" s="58">
        <v>31</v>
      </c>
      <c r="AK33" s="58">
        <v>7</v>
      </c>
      <c r="AL33" s="58">
        <v>14</v>
      </c>
      <c r="AM33" s="58">
        <v>41</v>
      </c>
      <c r="AN33" s="58">
        <v>51</v>
      </c>
      <c r="AO33" s="58">
        <v>33</v>
      </c>
      <c r="AP33" s="58">
        <v>84.892078005839707</v>
      </c>
      <c r="AQ33" s="58">
        <v>95.517528022577096</v>
      </c>
      <c r="AR33" s="58">
        <v>25.543866506810676</v>
      </c>
      <c r="AS33" s="58">
        <v>99.947368421052602</v>
      </c>
      <c r="AT33" s="58">
        <v>75.919155591514354</v>
      </c>
      <c r="AU33" s="58">
        <v>95</v>
      </c>
      <c r="AV33" s="58">
        <v>37.53072620431692</v>
      </c>
      <c r="AW33" s="58">
        <v>26.565412081741769</v>
      </c>
      <c r="AX33" s="58">
        <v>80.22838658626425</v>
      </c>
      <c r="AY33" s="58">
        <v>1.9577891764245292</v>
      </c>
      <c r="AZ33" s="58">
        <v>78.902742453679892</v>
      </c>
      <c r="BA33" s="58">
        <v>61.749999999999993</v>
      </c>
      <c r="BB33" s="58">
        <v>7.376081870271217</v>
      </c>
      <c r="BC33" s="58">
        <v>4.9260563853990647</v>
      </c>
      <c r="BD33" s="58">
        <v>16.57261331747581</v>
      </c>
      <c r="BE33" s="58">
        <v>71.994486820742225</v>
      </c>
      <c r="BF33" s="58">
        <v>77.306222401122255</v>
      </c>
      <c r="BG33" s="58">
        <v>99.739538461538473</v>
      </c>
      <c r="BH33" s="58">
        <v>47.290359383913291</v>
      </c>
      <c r="BI33" s="58">
        <v>75.293049120397953</v>
      </c>
      <c r="BJ33" s="58">
        <v>30.315787983545789</v>
      </c>
      <c r="BK33" s="58">
        <v>33.410560727705573</v>
      </c>
      <c r="BL33" s="58" t="s">
        <v>920</v>
      </c>
      <c r="BM33" s="58">
        <v>86.032410582163351</v>
      </c>
      <c r="BN33" s="58">
        <v>46.646117433235176</v>
      </c>
      <c r="BO33" s="58" t="s">
        <v>920</v>
      </c>
      <c r="BP33" s="58">
        <v>16.422845091573642</v>
      </c>
      <c r="BQ33" s="58">
        <v>92.614502410267804</v>
      </c>
      <c r="BR33" s="58">
        <v>91.269323551078642</v>
      </c>
      <c r="BS33" s="58" t="s">
        <v>920</v>
      </c>
      <c r="BT33" s="58">
        <v>60.295077230382965</v>
      </c>
      <c r="BU33" s="58">
        <v>75.712375805537008</v>
      </c>
      <c r="BV33" s="58">
        <v>99.062499999994131</v>
      </c>
      <c r="BW33" s="58">
        <v>71.805212446070058</v>
      </c>
      <c r="BX33" s="58">
        <v>100</v>
      </c>
      <c r="BY33" s="58">
        <v>91.787639983409377</v>
      </c>
      <c r="BZ33" s="58">
        <v>82.606855691917062</v>
      </c>
      <c r="CA33" s="58">
        <v>89.895447023827614</v>
      </c>
      <c r="CB33" s="58">
        <v>77.849682512946998</v>
      </c>
      <c r="CC33" s="58" t="s">
        <v>920</v>
      </c>
      <c r="CD33" s="58">
        <v>5.5013806451146996</v>
      </c>
      <c r="CE33" s="58">
        <v>47.614404548757143</v>
      </c>
      <c r="CF33" s="58">
        <v>73.760009089847472</v>
      </c>
      <c r="CG33" s="58">
        <v>28.132026687260435</v>
      </c>
      <c r="CH33" s="58">
        <v>79.736371760500447</v>
      </c>
      <c r="CI33" s="58">
        <v>59.635416666666664</v>
      </c>
      <c r="CJ33" s="58">
        <v>68.877551020408163</v>
      </c>
      <c r="CK33" s="58">
        <v>67.535444585128673</v>
      </c>
      <c r="CL33" s="58">
        <v>88.888888888888886</v>
      </c>
      <c r="CM33" s="58">
        <v>57.827869938247566</v>
      </c>
      <c r="CN33" s="58">
        <v>90.909090909090907</v>
      </c>
      <c r="CO33" s="58">
        <v>86.221743810548972</v>
      </c>
      <c r="CP33" s="58">
        <v>63.610085118040516</v>
      </c>
      <c r="CQ33" s="58">
        <v>26</v>
      </c>
      <c r="CR33" s="58">
        <v>19</v>
      </c>
      <c r="CS33" s="58">
        <v>81</v>
      </c>
      <c r="CT33" s="58">
        <v>25</v>
      </c>
      <c r="CU33" s="58">
        <v>39</v>
      </c>
      <c r="CV33" s="58">
        <v>44</v>
      </c>
      <c r="CW33" s="58">
        <v>29</v>
      </c>
      <c r="CX33" s="58">
        <v>29</v>
      </c>
      <c r="CY33" s="58">
        <v>7</v>
      </c>
      <c r="CZ33" s="58">
        <v>84</v>
      </c>
      <c r="DA33" s="58">
        <v>24</v>
      </c>
      <c r="DB33" s="58">
        <v>29</v>
      </c>
      <c r="DC33" s="58">
        <v>34</v>
      </c>
      <c r="DD33" s="58">
        <v>97</v>
      </c>
      <c r="DE33" s="58">
        <v>60</v>
      </c>
      <c r="DF33" s="58">
        <v>29</v>
      </c>
      <c r="DG33" s="58">
        <v>41</v>
      </c>
      <c r="DH33" s="58">
        <v>10</v>
      </c>
      <c r="DI33" s="58">
        <v>11</v>
      </c>
      <c r="DJ33" s="58">
        <v>35</v>
      </c>
      <c r="DK33" s="58">
        <v>21</v>
      </c>
      <c r="DL33" s="58">
        <v>100</v>
      </c>
      <c r="DM33" s="58" t="s">
        <v>920</v>
      </c>
      <c r="DN33" s="58">
        <v>26</v>
      </c>
      <c r="DO33" s="58">
        <v>35</v>
      </c>
      <c r="DP33" s="58" t="s">
        <v>920</v>
      </c>
      <c r="DQ33" s="58">
        <v>38</v>
      </c>
      <c r="DR33" s="58">
        <v>12</v>
      </c>
      <c r="DS33" s="58">
        <v>56</v>
      </c>
      <c r="DT33" s="58" t="s">
        <v>920</v>
      </c>
      <c r="DU33" s="58">
        <v>34</v>
      </c>
      <c r="DV33" s="58">
        <v>20</v>
      </c>
      <c r="DW33" s="58">
        <v>2</v>
      </c>
      <c r="DX33" s="58">
        <v>27</v>
      </c>
      <c r="DY33" s="58">
        <v>1</v>
      </c>
      <c r="DZ33" s="58">
        <v>9</v>
      </c>
      <c r="EA33" s="58">
        <v>29</v>
      </c>
      <c r="EB33" s="58">
        <v>30</v>
      </c>
      <c r="EC33" s="58">
        <v>4</v>
      </c>
      <c r="ED33" s="58" t="s">
        <v>920</v>
      </c>
      <c r="EE33" s="58">
        <v>35</v>
      </c>
      <c r="EF33" s="58">
        <v>82</v>
      </c>
      <c r="EG33" s="58">
        <v>16</v>
      </c>
      <c r="EH33" s="58">
        <v>30</v>
      </c>
      <c r="EI33" s="58">
        <v>16</v>
      </c>
      <c r="EJ33" s="58">
        <v>87</v>
      </c>
      <c r="EK33" s="58">
        <v>64</v>
      </c>
      <c r="EL33" s="58">
        <v>58</v>
      </c>
      <c r="EM33" s="58">
        <v>58</v>
      </c>
      <c r="EN33" s="58">
        <v>30</v>
      </c>
      <c r="EO33" s="58">
        <v>28</v>
      </c>
      <c r="EP33" s="58">
        <v>27</v>
      </c>
      <c r="EQ33" s="58">
        <v>63</v>
      </c>
    </row>
    <row r="34" spans="1:147" x14ac:dyDescent="0.45">
      <c r="A34" t="s">
        <v>63</v>
      </c>
      <c r="B34" s="59" t="s">
        <v>319</v>
      </c>
      <c r="C34" s="37" t="s">
        <v>10</v>
      </c>
      <c r="D34" s="37" t="s">
        <v>880</v>
      </c>
      <c r="E34" s="104">
        <v>63125.675000000003</v>
      </c>
      <c r="F34" s="104">
        <v>59499000</v>
      </c>
      <c r="G34" s="87">
        <v>62.478647254626502</v>
      </c>
      <c r="H34" s="1" t="s">
        <v>167</v>
      </c>
      <c r="I34" s="58">
        <v>28</v>
      </c>
      <c r="J34" s="87">
        <v>55.133966788658654</v>
      </c>
      <c r="K34" s="87">
        <v>53.523588800357466</v>
      </c>
      <c r="L34" s="87">
        <v>78.536454801035973</v>
      </c>
      <c r="M34" s="87">
        <v>62.720578628453922</v>
      </c>
      <c r="N34" s="58">
        <v>30</v>
      </c>
      <c r="O34" s="58">
        <v>24</v>
      </c>
      <c r="P34" s="58">
        <v>28</v>
      </c>
      <c r="Q34" s="58">
        <v>35</v>
      </c>
      <c r="R34" s="58">
        <v>75.148129721252801</v>
      </c>
      <c r="S34" s="58">
        <v>41.402279756643878</v>
      </c>
      <c r="T34" s="58">
        <v>48.851490888079283</v>
      </c>
      <c r="U34" s="58">
        <v>57.92148922458972</v>
      </c>
      <c r="V34" s="58">
        <v>51.436997856272029</v>
      </c>
      <c r="W34" s="58">
        <v>51.212279320210662</v>
      </c>
      <c r="X34" s="58">
        <v>82.457629745050028</v>
      </c>
      <c r="Y34" s="58">
        <v>79.961746765377242</v>
      </c>
      <c r="Z34" s="58">
        <v>73.189987892680634</v>
      </c>
      <c r="AA34" s="58">
        <v>36.875947601080121</v>
      </c>
      <c r="AB34" s="58">
        <v>67.824967408078138</v>
      </c>
      <c r="AC34" s="58">
        <v>83.460820876203513</v>
      </c>
      <c r="AD34" s="58">
        <v>43</v>
      </c>
      <c r="AE34" s="58">
        <v>33</v>
      </c>
      <c r="AF34" s="58">
        <v>26</v>
      </c>
      <c r="AG34" s="58">
        <v>36</v>
      </c>
      <c r="AH34" s="58">
        <v>23</v>
      </c>
      <c r="AI34" s="58">
        <v>34</v>
      </c>
      <c r="AJ34" s="58">
        <v>26</v>
      </c>
      <c r="AK34" s="58">
        <v>20</v>
      </c>
      <c r="AL34" s="58">
        <v>45</v>
      </c>
      <c r="AM34" s="58">
        <v>48</v>
      </c>
      <c r="AN34" s="58">
        <v>59</v>
      </c>
      <c r="AO34" s="58">
        <v>16</v>
      </c>
      <c r="AP34" s="58">
        <v>82.2836986841195</v>
      </c>
      <c r="AQ34" s="58">
        <v>82.188684507883963</v>
      </c>
      <c r="AR34" s="58">
        <v>43.209446805416171</v>
      </c>
      <c r="AS34" s="58">
        <v>100</v>
      </c>
      <c r="AT34" s="58">
        <v>73.206948330097106</v>
      </c>
      <c r="AU34" s="58">
        <v>70</v>
      </c>
      <c r="AV34" s="58">
        <v>19.850511023124735</v>
      </c>
      <c r="AW34" s="58">
        <v>26.568378418881245</v>
      </c>
      <c r="AX34" s="58">
        <v>66.897989346134906</v>
      </c>
      <c r="AY34" s="58">
        <v>52.29224023843463</v>
      </c>
      <c r="AZ34" s="58">
        <v>77.91405114967715</v>
      </c>
      <c r="BA34" s="58">
        <v>41</v>
      </c>
      <c r="BB34" s="58">
        <v>28.89884852973416</v>
      </c>
      <c r="BC34" s="58">
        <v>47.593063872905823</v>
      </c>
      <c r="BD34" s="58">
        <v>46.271741453692947</v>
      </c>
      <c r="BE34" s="58">
        <v>59.100995177424799</v>
      </c>
      <c r="BF34" s="58">
        <v>75.448014156362007</v>
      </c>
      <c r="BG34" s="58">
        <v>98.461538461538453</v>
      </c>
      <c r="BH34" s="58">
        <v>10.325156873930402</v>
      </c>
      <c r="BI34" s="58">
        <v>84.913767625006244</v>
      </c>
      <c r="BJ34" s="58">
        <v>9.5820035929588521</v>
      </c>
      <c r="BK34" s="58">
        <v>64.608658110467275</v>
      </c>
      <c r="BL34" s="58">
        <v>46.643562096655728</v>
      </c>
      <c r="BM34" s="58">
        <v>71.413962777156186</v>
      </c>
      <c r="BN34" s="58">
        <v>52.767859618315939</v>
      </c>
      <c r="BO34" s="58">
        <v>60.079455079342424</v>
      </c>
      <c r="BP34" s="58">
        <v>20.587839806028089</v>
      </c>
      <c r="BQ34" s="58">
        <v>83.199388958750617</v>
      </c>
      <c r="BR34" s="58">
        <v>100</v>
      </c>
      <c r="BS34" s="58" t="s">
        <v>920</v>
      </c>
      <c r="BT34" s="58">
        <v>64.17350027639948</v>
      </c>
      <c r="BU34" s="58">
        <v>58.345030828346154</v>
      </c>
      <c r="BV34" s="58">
        <v>100</v>
      </c>
      <c r="BW34" s="58">
        <v>61.994603040016649</v>
      </c>
      <c r="BX34" s="58">
        <v>100</v>
      </c>
      <c r="BY34" s="58">
        <v>79.469099958523429</v>
      </c>
      <c r="BZ34" s="58">
        <v>63.764282691493868</v>
      </c>
      <c r="CA34" s="58">
        <v>91.635992406828279</v>
      </c>
      <c r="CB34" s="58">
        <v>64.169688579719747</v>
      </c>
      <c r="CC34" s="58" t="s">
        <v>920</v>
      </c>
      <c r="CD34" s="58">
        <v>15.008430046386302</v>
      </c>
      <c r="CE34" s="58">
        <v>77.817732204688213</v>
      </c>
      <c r="CF34" s="58">
        <v>44.75992387252753</v>
      </c>
      <c r="CG34" s="58">
        <v>9.9177042807184321</v>
      </c>
      <c r="CH34" s="58">
        <v>70.487042001787316</v>
      </c>
      <c r="CI34" s="58">
        <v>51.692708333333336</v>
      </c>
      <c r="CJ34" s="58">
        <v>73.214285714285722</v>
      </c>
      <c r="CK34" s="58">
        <v>89.376018063941828</v>
      </c>
      <c r="CL34" s="58">
        <v>100</v>
      </c>
      <c r="CM34" s="58">
        <v>57.672879134739333</v>
      </c>
      <c r="CN34" s="58">
        <v>96.36363636363636</v>
      </c>
      <c r="CO34" s="58">
        <v>88.912809472551132</v>
      </c>
      <c r="CP34" s="58">
        <v>81.787917067774373</v>
      </c>
      <c r="CQ34" s="58">
        <v>33</v>
      </c>
      <c r="CR34" s="58">
        <v>43</v>
      </c>
      <c r="CS34" s="58">
        <v>36</v>
      </c>
      <c r="CT34" s="58">
        <v>1</v>
      </c>
      <c r="CU34" s="58">
        <v>54</v>
      </c>
      <c r="CV34" s="58">
        <v>55</v>
      </c>
      <c r="CW34" s="58">
        <v>43</v>
      </c>
      <c r="CX34" s="58">
        <v>28</v>
      </c>
      <c r="CY34" s="58">
        <v>57</v>
      </c>
      <c r="CZ34" s="58">
        <v>14</v>
      </c>
      <c r="DA34" s="58">
        <v>26</v>
      </c>
      <c r="DB34" s="58">
        <v>60</v>
      </c>
      <c r="DC34" s="58">
        <v>15</v>
      </c>
      <c r="DD34" s="58">
        <v>12</v>
      </c>
      <c r="DE34" s="58">
        <v>14</v>
      </c>
      <c r="DF34" s="58">
        <v>45</v>
      </c>
      <c r="DG34" s="58">
        <v>48</v>
      </c>
      <c r="DH34" s="58">
        <v>16</v>
      </c>
      <c r="DI34" s="58">
        <v>38</v>
      </c>
      <c r="DJ34" s="58">
        <v>19</v>
      </c>
      <c r="DK34" s="58">
        <v>50</v>
      </c>
      <c r="DL34" s="58">
        <v>10</v>
      </c>
      <c r="DM34" s="58">
        <v>11</v>
      </c>
      <c r="DN34" s="58">
        <v>61</v>
      </c>
      <c r="DO34" s="58">
        <v>28</v>
      </c>
      <c r="DP34" s="58">
        <v>28</v>
      </c>
      <c r="DQ34" s="58">
        <v>34</v>
      </c>
      <c r="DR34" s="58">
        <v>30</v>
      </c>
      <c r="DS34" s="58">
        <v>1</v>
      </c>
      <c r="DT34" s="58" t="s">
        <v>920</v>
      </c>
      <c r="DU34" s="58">
        <v>28</v>
      </c>
      <c r="DV34" s="58">
        <v>42</v>
      </c>
      <c r="DW34" s="58">
        <v>1</v>
      </c>
      <c r="DX34" s="58">
        <v>38</v>
      </c>
      <c r="DY34" s="58">
        <v>1</v>
      </c>
      <c r="DZ34" s="58">
        <v>28</v>
      </c>
      <c r="EA34" s="58">
        <v>61</v>
      </c>
      <c r="EB34" s="58">
        <v>27</v>
      </c>
      <c r="EC34" s="58">
        <v>62</v>
      </c>
      <c r="ED34" s="58" t="s">
        <v>920</v>
      </c>
      <c r="EE34" s="58">
        <v>26</v>
      </c>
      <c r="EF34" s="58">
        <v>11</v>
      </c>
      <c r="EG34" s="58">
        <v>56</v>
      </c>
      <c r="EH34" s="58">
        <v>76</v>
      </c>
      <c r="EI34" s="58">
        <v>37</v>
      </c>
      <c r="EJ34" s="58">
        <v>104</v>
      </c>
      <c r="EK34" s="58">
        <v>54</v>
      </c>
      <c r="EL34" s="58">
        <v>14</v>
      </c>
      <c r="EM34" s="58">
        <v>1</v>
      </c>
      <c r="EN34" s="58">
        <v>31</v>
      </c>
      <c r="EO34" s="58">
        <v>15</v>
      </c>
      <c r="EP34" s="58">
        <v>17</v>
      </c>
      <c r="EQ34" s="58">
        <v>30</v>
      </c>
    </row>
    <row r="35" spans="1:147" x14ac:dyDescent="0.45">
      <c r="A35" t="s">
        <v>311</v>
      </c>
      <c r="B35" s="59" t="s">
        <v>310</v>
      </c>
      <c r="C35" s="37" t="s">
        <v>10</v>
      </c>
      <c r="D35" s="37" t="s">
        <v>880</v>
      </c>
      <c r="E35" s="104">
        <v>59853.135000000002</v>
      </c>
      <c r="F35" s="104">
        <v>10810000</v>
      </c>
      <c r="G35" s="87">
        <v>62.316351930250136</v>
      </c>
      <c r="H35" s="1" t="s">
        <v>163</v>
      </c>
      <c r="I35" s="58">
        <v>29</v>
      </c>
      <c r="J35" s="87">
        <v>56.24887451541715</v>
      </c>
      <c r="K35" s="87">
        <v>47.08813888289091</v>
      </c>
      <c r="L35" s="87">
        <v>79.410650263812286</v>
      </c>
      <c r="M35" s="87">
        <v>66.517744058880183</v>
      </c>
      <c r="N35" s="58">
        <v>29</v>
      </c>
      <c r="O35" s="58">
        <v>42</v>
      </c>
      <c r="P35" s="58">
        <v>25</v>
      </c>
      <c r="Q35" s="58">
        <v>24</v>
      </c>
      <c r="R35" s="58">
        <v>77.076330884922399</v>
      </c>
      <c r="S35" s="58">
        <v>46.071727843069155</v>
      </c>
      <c r="T35" s="58">
        <v>45.598564818259881</v>
      </c>
      <c r="U35" s="58">
        <v>49.24062579181512</v>
      </c>
      <c r="V35" s="58">
        <v>44.957592317987547</v>
      </c>
      <c r="W35" s="58">
        <v>47.066198538870047</v>
      </c>
      <c r="X35" s="58">
        <v>87.498322270235235</v>
      </c>
      <c r="Y35" s="58">
        <v>77.6045761006378</v>
      </c>
      <c r="Z35" s="58">
        <v>73.129052420563809</v>
      </c>
      <c r="AA35" s="58">
        <v>36.576710546817445</v>
      </c>
      <c r="AB35" s="58">
        <v>83.853450024838864</v>
      </c>
      <c r="AC35" s="58">
        <v>79.123071604984247</v>
      </c>
      <c r="AD35" s="58">
        <v>34</v>
      </c>
      <c r="AE35" s="58">
        <v>25</v>
      </c>
      <c r="AF35" s="58">
        <v>35</v>
      </c>
      <c r="AG35" s="58">
        <v>73</v>
      </c>
      <c r="AH35" s="58">
        <v>31</v>
      </c>
      <c r="AI35" s="58">
        <v>44</v>
      </c>
      <c r="AJ35" s="58">
        <v>15</v>
      </c>
      <c r="AK35" s="58">
        <v>26</v>
      </c>
      <c r="AL35" s="58">
        <v>46</v>
      </c>
      <c r="AM35" s="58">
        <v>51</v>
      </c>
      <c r="AN35" s="58">
        <v>12</v>
      </c>
      <c r="AO35" s="58">
        <v>29</v>
      </c>
      <c r="AP35" s="58">
        <v>81.371590382476896</v>
      </c>
      <c r="AQ35" s="58">
        <v>87.320728602790936</v>
      </c>
      <c r="AR35" s="58">
        <v>27.977738598904633</v>
      </c>
      <c r="AS35" s="58">
        <v>98.947368421052616</v>
      </c>
      <c r="AT35" s="58">
        <v>68.131635964465673</v>
      </c>
      <c r="AU35" s="58">
        <v>98.708923339843693</v>
      </c>
      <c r="AV35" s="58">
        <v>62.688735993112367</v>
      </c>
      <c r="AW35" s="58">
        <v>43.200060293382052</v>
      </c>
      <c r="AX35" s="58">
        <v>73.432056428496693</v>
      </c>
      <c r="AY35" s="58">
        <v>4.966058657285485</v>
      </c>
      <c r="AZ35" s="58">
        <v>77.827087726079014</v>
      </c>
      <c r="BA35" s="58">
        <v>55.000000000000007</v>
      </c>
      <c r="BB35" s="58">
        <v>26.37195135728081</v>
      </c>
      <c r="BC35" s="58">
        <v>23.195220189679695</v>
      </c>
      <c r="BD35" s="58">
        <v>17.162838005803703</v>
      </c>
      <c r="BE35" s="58">
        <v>69.528450996100048</v>
      </c>
      <c r="BF35" s="58">
        <v>78.896428084352721</v>
      </c>
      <c r="BG35" s="58" t="s">
        <v>920</v>
      </c>
      <c r="BH35" s="58">
        <v>31.37478608100399</v>
      </c>
      <c r="BI35" s="58">
        <v>95.144342037657609</v>
      </c>
      <c r="BJ35" s="58">
        <v>10.250652301431289</v>
      </c>
      <c r="BK35" s="58">
        <v>48.287891594851502</v>
      </c>
      <c r="BL35" s="58">
        <v>26.14748333800981</v>
      </c>
      <c r="BM35" s="58">
        <v>63.983830800880639</v>
      </c>
      <c r="BN35" s="58">
        <v>59.484490695484617</v>
      </c>
      <c r="BO35" s="58">
        <v>35.962310155180219</v>
      </c>
      <c r="BP35" s="58">
        <v>28.834162503934717</v>
      </c>
      <c r="BQ35" s="58">
        <v>90.88351270553558</v>
      </c>
      <c r="BR35" s="58">
        <v>85.502981299552502</v>
      </c>
      <c r="BS35" s="58" t="s">
        <v>920</v>
      </c>
      <c r="BT35" s="58">
        <v>86.108472805617609</v>
      </c>
      <c r="BU35" s="58">
        <v>74.872709755570483</v>
      </c>
      <c r="BV35" s="58">
        <v>79.374999999871093</v>
      </c>
      <c r="BW35" s="58">
        <v>62.466585098639229</v>
      </c>
      <c r="BX35" s="58">
        <v>75</v>
      </c>
      <c r="BY35" s="58">
        <v>96.308585649108252</v>
      </c>
      <c r="BZ35" s="58">
        <v>56.517139229792633</v>
      </c>
      <c r="CA35" s="58">
        <v>96.414265031020292</v>
      </c>
      <c r="CB35" s="58">
        <v>66.45575300087846</v>
      </c>
      <c r="CC35" s="58" t="s">
        <v>920</v>
      </c>
      <c r="CD35" s="58">
        <v>8.4277496861530157</v>
      </c>
      <c r="CE35" s="58">
        <v>61.040466652096647</v>
      </c>
      <c r="CF35" s="58">
        <v>53.816315644953086</v>
      </c>
      <c r="CG35" s="58">
        <v>23.022310204067033</v>
      </c>
      <c r="CH35" s="58">
        <v>78.529937444146569</v>
      </c>
      <c r="CI35" s="58">
        <v>87.5</v>
      </c>
      <c r="CJ35" s="58">
        <v>95.153061224489804</v>
      </c>
      <c r="CK35" s="58">
        <v>75.907764036250143</v>
      </c>
      <c r="CL35" s="58">
        <v>100</v>
      </c>
      <c r="CM35" s="58">
        <v>63.609330123303529</v>
      </c>
      <c r="CN35" s="58">
        <v>90.909090909090907</v>
      </c>
      <c r="CO35" s="58">
        <v>74.811625403659846</v>
      </c>
      <c r="CP35" s="58">
        <v>74.32447996776547</v>
      </c>
      <c r="CQ35" s="58">
        <v>35</v>
      </c>
      <c r="CR35" s="58">
        <v>36</v>
      </c>
      <c r="CS35" s="58">
        <v>76</v>
      </c>
      <c r="CT35" s="58">
        <v>43</v>
      </c>
      <c r="CU35" s="58">
        <v>82</v>
      </c>
      <c r="CV35" s="58">
        <v>40</v>
      </c>
      <c r="CW35" s="58">
        <v>15</v>
      </c>
      <c r="CX35" s="58">
        <v>20</v>
      </c>
      <c r="CY35" s="58">
        <v>23</v>
      </c>
      <c r="CZ35" s="58">
        <v>66</v>
      </c>
      <c r="DA35" s="58">
        <v>27</v>
      </c>
      <c r="DB35" s="58">
        <v>36</v>
      </c>
      <c r="DC35" s="58">
        <v>17</v>
      </c>
      <c r="DD35" s="58">
        <v>43</v>
      </c>
      <c r="DE35" s="58">
        <v>58</v>
      </c>
      <c r="DF35" s="58">
        <v>31</v>
      </c>
      <c r="DG35" s="58">
        <v>33</v>
      </c>
      <c r="DH35" s="58" t="s">
        <v>920</v>
      </c>
      <c r="DI35" s="58">
        <v>24</v>
      </c>
      <c r="DJ35" s="58">
        <v>2</v>
      </c>
      <c r="DK35" s="58">
        <v>47</v>
      </c>
      <c r="DL35" s="58">
        <v>40</v>
      </c>
      <c r="DM35" s="58">
        <v>30</v>
      </c>
      <c r="DN35" s="58">
        <v>76</v>
      </c>
      <c r="DO35" s="58">
        <v>18</v>
      </c>
      <c r="DP35" s="58">
        <v>65</v>
      </c>
      <c r="DQ35" s="58">
        <v>21</v>
      </c>
      <c r="DR35" s="58">
        <v>14</v>
      </c>
      <c r="DS35" s="58">
        <v>69</v>
      </c>
      <c r="DT35" s="58" t="s">
        <v>920</v>
      </c>
      <c r="DU35" s="58">
        <v>9</v>
      </c>
      <c r="DV35" s="58">
        <v>21</v>
      </c>
      <c r="DW35" s="58">
        <v>47</v>
      </c>
      <c r="DX35" s="58">
        <v>36</v>
      </c>
      <c r="DY35" s="58">
        <v>72</v>
      </c>
      <c r="DZ35" s="58">
        <v>5</v>
      </c>
      <c r="EA35" s="58">
        <v>73</v>
      </c>
      <c r="EB35" s="58">
        <v>12</v>
      </c>
      <c r="EC35" s="58">
        <v>43</v>
      </c>
      <c r="ED35" s="58" t="s">
        <v>920</v>
      </c>
      <c r="EE35" s="58">
        <v>31</v>
      </c>
      <c r="EF35" s="58">
        <v>45</v>
      </c>
      <c r="EG35" s="58">
        <v>44</v>
      </c>
      <c r="EH35" s="58">
        <v>43</v>
      </c>
      <c r="EI35" s="58">
        <v>20</v>
      </c>
      <c r="EJ35" s="58">
        <v>23</v>
      </c>
      <c r="EK35" s="58">
        <v>5</v>
      </c>
      <c r="EL35" s="58">
        <v>39</v>
      </c>
      <c r="EM35" s="58">
        <v>1</v>
      </c>
      <c r="EN35" s="58">
        <v>15</v>
      </c>
      <c r="EO35" s="58">
        <v>28</v>
      </c>
      <c r="EP35" s="58">
        <v>66</v>
      </c>
      <c r="EQ35" s="58">
        <v>43</v>
      </c>
    </row>
    <row r="36" spans="1:147" x14ac:dyDescent="0.45">
      <c r="A36" t="s">
        <v>315</v>
      </c>
      <c r="B36" s="59" t="s">
        <v>314</v>
      </c>
      <c r="C36" s="37" t="s">
        <v>31</v>
      </c>
      <c r="D36" s="37" t="s">
        <v>880</v>
      </c>
      <c r="E36" s="104">
        <v>78918.785000000003</v>
      </c>
      <c r="F36" s="104">
        <v>7443000</v>
      </c>
      <c r="G36" s="87">
        <v>61.92528893149963</v>
      </c>
      <c r="H36" s="1" t="s">
        <v>171</v>
      </c>
      <c r="I36" s="58">
        <v>30</v>
      </c>
      <c r="J36" s="87">
        <v>63.574352293475151</v>
      </c>
      <c r="K36" s="87">
        <v>47.725227658351933</v>
      </c>
      <c r="L36" s="87">
        <v>73.746057736273812</v>
      </c>
      <c r="M36" s="87">
        <v>62.655518037897615</v>
      </c>
      <c r="N36" s="58">
        <v>13</v>
      </c>
      <c r="O36" s="58">
        <v>36</v>
      </c>
      <c r="P36" s="58">
        <v>36</v>
      </c>
      <c r="Q36" s="58">
        <v>36</v>
      </c>
      <c r="R36" s="58">
        <v>85.797424567340443</v>
      </c>
      <c r="S36" s="58">
        <v>47.995428524423708</v>
      </c>
      <c r="T36" s="58">
        <v>56.930203788661281</v>
      </c>
      <c r="U36" s="58">
        <v>63.233687836094198</v>
      </c>
      <c r="V36" s="58">
        <v>42.539738627512101</v>
      </c>
      <c r="W36" s="58">
        <v>37.402256511449508</v>
      </c>
      <c r="X36" s="58">
        <v>83.178746692242896</v>
      </c>
      <c r="Y36" s="58">
        <v>63.902377176675017</v>
      </c>
      <c r="Z36" s="58">
        <v>74.157049339903523</v>
      </c>
      <c r="AA36" s="58">
        <v>47.614632507093631</v>
      </c>
      <c r="AB36" s="58">
        <v>52.916596849865954</v>
      </c>
      <c r="AC36" s="58">
        <v>87.435324756733237</v>
      </c>
      <c r="AD36" s="58">
        <v>3</v>
      </c>
      <c r="AE36" s="58">
        <v>19</v>
      </c>
      <c r="AF36" s="58">
        <v>16</v>
      </c>
      <c r="AG36" s="58">
        <v>18</v>
      </c>
      <c r="AH36" s="58">
        <v>36</v>
      </c>
      <c r="AI36" s="58">
        <v>73</v>
      </c>
      <c r="AJ36" s="58">
        <v>22</v>
      </c>
      <c r="AK36" s="58">
        <v>59</v>
      </c>
      <c r="AL36" s="58">
        <v>41</v>
      </c>
      <c r="AM36" s="58">
        <v>24</v>
      </c>
      <c r="AN36" s="58">
        <v>93</v>
      </c>
      <c r="AO36" s="58">
        <v>3</v>
      </c>
      <c r="AP36" s="58">
        <v>100</v>
      </c>
      <c r="AQ36" s="58">
        <v>84.439884786858073</v>
      </c>
      <c r="AR36" s="58">
        <v>35.607820511921467</v>
      </c>
      <c r="AS36" s="58">
        <v>94.73684210526315</v>
      </c>
      <c r="AT36" s="58">
        <v>100</v>
      </c>
      <c r="AU36" s="58">
        <v>100</v>
      </c>
      <c r="AV36" s="58" t="s">
        <v>920</v>
      </c>
      <c r="AW36" s="58">
        <v>44.425502957278582</v>
      </c>
      <c r="AX36" s="58">
        <v>84.339366089426321</v>
      </c>
      <c r="AY36" s="58">
        <v>15.221416526566209</v>
      </c>
      <c r="AZ36" s="58">
        <v>83.933967614176865</v>
      </c>
      <c r="BA36" s="58">
        <v>74.75</v>
      </c>
      <c r="BB36" s="58">
        <v>40.577150370680819</v>
      </c>
      <c r="BC36" s="58">
        <v>28.459697169787429</v>
      </c>
      <c r="BD36" s="58">
        <v>21.872639415810557</v>
      </c>
      <c r="BE36" s="58">
        <v>76.288784335528518</v>
      </c>
      <c r="BF36" s="58">
        <v>91.539639756943529</v>
      </c>
      <c r="BG36" s="58" t="s">
        <v>920</v>
      </c>
      <c r="BH36" s="58" t="s">
        <v>920</v>
      </c>
      <c r="BI36" s="58">
        <v>56.154486220553004</v>
      </c>
      <c r="BJ36" s="58" t="s">
        <v>920</v>
      </c>
      <c r="BK36" s="58">
        <v>46.891089920686888</v>
      </c>
      <c r="BL36" s="58">
        <v>24.5736397412964</v>
      </c>
      <c r="BM36" s="58" t="s">
        <v>920</v>
      </c>
      <c r="BN36" s="58">
        <v>57.488519337729649</v>
      </c>
      <c r="BO36" s="58" t="s">
        <v>920</v>
      </c>
      <c r="BP36" s="58">
        <v>17.315993685169371</v>
      </c>
      <c r="BQ36" s="58">
        <v>96.320496170926603</v>
      </c>
      <c r="BR36" s="58" t="s">
        <v>920</v>
      </c>
      <c r="BS36" s="58" t="s">
        <v>920</v>
      </c>
      <c r="BT36" s="58">
        <v>70.036997213559175</v>
      </c>
      <c r="BU36" s="58">
        <v>82.376171273402448</v>
      </c>
      <c r="BV36" s="58">
        <v>72.812499999830081</v>
      </c>
      <c r="BW36" s="58">
        <v>67.384752821273423</v>
      </c>
      <c r="BX36" s="58" t="s">
        <v>920</v>
      </c>
      <c r="BY36" s="58">
        <v>33.036084612194109</v>
      </c>
      <c r="BZ36" s="58" t="s">
        <v>920</v>
      </c>
      <c r="CA36" s="58">
        <v>83.941318664996473</v>
      </c>
      <c r="CB36" s="58">
        <v>64.372780014810573</v>
      </c>
      <c r="CC36" s="58" t="s">
        <v>920</v>
      </c>
      <c r="CD36" s="58">
        <v>66.114348665084137</v>
      </c>
      <c r="CE36" s="58">
        <v>60.233641368561429</v>
      </c>
      <c r="CF36" s="58">
        <v>59.890732458645921</v>
      </c>
      <c r="CG36" s="58">
        <v>4.2198075360830423</v>
      </c>
      <c r="CH36" s="58">
        <v>49.843610366398565</v>
      </c>
      <c r="CI36" s="58">
        <v>55.989583333333336</v>
      </c>
      <c r="CJ36" s="58" t="s">
        <v>920</v>
      </c>
      <c r="CK36" s="58" t="s">
        <v>920</v>
      </c>
      <c r="CL36" s="58" t="s">
        <v>920</v>
      </c>
      <c r="CM36" s="58">
        <v>75.631152859102698</v>
      </c>
      <c r="CN36" s="58">
        <v>88.181818181818187</v>
      </c>
      <c r="CO36" s="58">
        <v>98.493003229278798</v>
      </c>
      <c r="CP36" s="58" t="s">
        <v>920</v>
      </c>
      <c r="CQ36" s="58">
        <v>1</v>
      </c>
      <c r="CR36" s="58">
        <v>39</v>
      </c>
      <c r="CS36" s="58">
        <v>52</v>
      </c>
      <c r="CT36" s="58">
        <v>63</v>
      </c>
      <c r="CU36" s="58">
        <v>1</v>
      </c>
      <c r="CV36" s="58">
        <v>1</v>
      </c>
      <c r="CW36" s="58" t="s">
        <v>920</v>
      </c>
      <c r="CX36" s="58">
        <v>19</v>
      </c>
      <c r="CY36" s="58">
        <v>4</v>
      </c>
      <c r="CZ36" s="58">
        <v>39</v>
      </c>
      <c r="DA36" s="58">
        <v>18</v>
      </c>
      <c r="DB36" s="58">
        <v>15</v>
      </c>
      <c r="DC36" s="58">
        <v>7</v>
      </c>
      <c r="DD36" s="58">
        <v>27</v>
      </c>
      <c r="DE36" s="58">
        <v>44</v>
      </c>
      <c r="DF36" s="58">
        <v>20</v>
      </c>
      <c r="DG36" s="58">
        <v>5</v>
      </c>
      <c r="DH36" s="58" t="s">
        <v>920</v>
      </c>
      <c r="DI36" s="58" t="s">
        <v>920</v>
      </c>
      <c r="DJ36" s="58">
        <v>60</v>
      </c>
      <c r="DK36" s="58" t="s">
        <v>920</v>
      </c>
      <c r="DL36" s="58">
        <v>44</v>
      </c>
      <c r="DM36" s="58">
        <v>33</v>
      </c>
      <c r="DN36" s="58" t="s">
        <v>920</v>
      </c>
      <c r="DO36" s="58">
        <v>21</v>
      </c>
      <c r="DP36" s="58" t="s">
        <v>920</v>
      </c>
      <c r="DQ36" s="58">
        <v>37</v>
      </c>
      <c r="DR36" s="58">
        <v>8</v>
      </c>
      <c r="DS36" s="58" t="s">
        <v>920</v>
      </c>
      <c r="DT36" s="58" t="s">
        <v>920</v>
      </c>
      <c r="DU36" s="58">
        <v>21</v>
      </c>
      <c r="DV36" s="58">
        <v>12</v>
      </c>
      <c r="DW36" s="58">
        <v>68</v>
      </c>
      <c r="DX36" s="58">
        <v>28</v>
      </c>
      <c r="DY36" s="58" t="s">
        <v>920</v>
      </c>
      <c r="DZ36" s="58">
        <v>109</v>
      </c>
      <c r="EA36" s="58" t="s">
        <v>920</v>
      </c>
      <c r="EB36" s="58">
        <v>42</v>
      </c>
      <c r="EC36" s="58">
        <v>59</v>
      </c>
      <c r="ED36" s="58" t="s">
        <v>920</v>
      </c>
      <c r="EE36" s="58">
        <v>12</v>
      </c>
      <c r="EF36" s="58">
        <v>48</v>
      </c>
      <c r="EG36" s="58">
        <v>36</v>
      </c>
      <c r="EH36" s="58">
        <v>96</v>
      </c>
      <c r="EI36" s="58">
        <v>84</v>
      </c>
      <c r="EJ36" s="58">
        <v>98</v>
      </c>
      <c r="EK36" s="58" t="s">
        <v>920</v>
      </c>
      <c r="EL36" s="58" t="s">
        <v>920</v>
      </c>
      <c r="EM36" s="58" t="s">
        <v>920</v>
      </c>
      <c r="EN36" s="58">
        <v>5</v>
      </c>
      <c r="EO36" s="58">
        <v>34</v>
      </c>
      <c r="EP36" s="58">
        <v>2</v>
      </c>
      <c r="EQ36" s="58" t="s">
        <v>920</v>
      </c>
    </row>
    <row r="37" spans="1:147" x14ac:dyDescent="0.45">
      <c r="A37" t="s">
        <v>62</v>
      </c>
      <c r="B37" s="59" t="s">
        <v>318</v>
      </c>
      <c r="C37" s="37" t="s">
        <v>10</v>
      </c>
      <c r="D37" s="37" t="s">
        <v>880</v>
      </c>
      <c r="E37" s="104">
        <v>78710.887000000002</v>
      </c>
      <c r="F37" s="104">
        <v>533000</v>
      </c>
      <c r="G37" s="87">
        <v>61.724847382803468</v>
      </c>
      <c r="H37" s="1" t="s">
        <v>166</v>
      </c>
      <c r="I37" s="58">
        <v>31</v>
      </c>
      <c r="J37" s="87">
        <v>50.478828075405865</v>
      </c>
      <c r="K37" s="87">
        <v>55.459063373150599</v>
      </c>
      <c r="L37" s="87">
        <v>75.822319875893527</v>
      </c>
      <c r="M37" s="87">
        <v>65.139178206763887</v>
      </c>
      <c r="N37" s="58">
        <v>39</v>
      </c>
      <c r="O37" s="58">
        <v>22</v>
      </c>
      <c r="P37" s="58">
        <v>33</v>
      </c>
      <c r="Q37" s="58">
        <v>27</v>
      </c>
      <c r="R37" s="58">
        <v>67.668365938415974</v>
      </c>
      <c r="S37" s="58">
        <v>37.988510982620575</v>
      </c>
      <c r="T37" s="58">
        <v>45.779607305181067</v>
      </c>
      <c r="U37" s="58">
        <v>55.889552685481952</v>
      </c>
      <c r="V37" s="58">
        <v>64.714828092612038</v>
      </c>
      <c r="W37" s="58">
        <v>45.772809341357799</v>
      </c>
      <c r="X37" s="58">
        <v>73.265906205189438</v>
      </c>
      <c r="Y37" s="58">
        <v>77.477057858650966</v>
      </c>
      <c r="Z37" s="58">
        <v>76.723995563840163</v>
      </c>
      <c r="AA37" s="58">
        <v>37.662976244280991</v>
      </c>
      <c r="AB37" s="58">
        <v>75.552194246796446</v>
      </c>
      <c r="AC37" s="58">
        <v>82.202364129214232</v>
      </c>
      <c r="AD37" s="58">
        <v>66</v>
      </c>
      <c r="AE37" s="58">
        <v>39</v>
      </c>
      <c r="AF37" s="58">
        <v>33</v>
      </c>
      <c r="AG37" s="58">
        <v>42</v>
      </c>
      <c r="AH37" s="58">
        <v>6</v>
      </c>
      <c r="AI37" s="58">
        <v>51</v>
      </c>
      <c r="AJ37" s="58">
        <v>45</v>
      </c>
      <c r="AK37" s="58">
        <v>27</v>
      </c>
      <c r="AL37" s="58">
        <v>33</v>
      </c>
      <c r="AM37" s="58">
        <v>45</v>
      </c>
      <c r="AN37" s="58">
        <v>33</v>
      </c>
      <c r="AO37" s="58">
        <v>22</v>
      </c>
      <c r="AP37" s="58">
        <v>88.382506440538705</v>
      </c>
      <c r="AQ37" s="58">
        <v>82.63477575713587</v>
      </c>
      <c r="AR37" s="58">
        <v>6.6280516724859169</v>
      </c>
      <c r="AS37" s="58">
        <v>100</v>
      </c>
      <c r="AT37" s="58">
        <v>60.696495821919406</v>
      </c>
      <c r="AU37" s="58" t="s">
        <v>920</v>
      </c>
      <c r="AV37" s="58">
        <v>29.926396537190502</v>
      </c>
      <c r="AW37" s="58">
        <v>50.251232152992365</v>
      </c>
      <c r="AX37" s="58">
        <v>71.471512450282162</v>
      </c>
      <c r="AY37" s="58">
        <v>0.30490279001728893</v>
      </c>
      <c r="AZ37" s="58">
        <v>61.498324573723927</v>
      </c>
      <c r="BA37" s="58">
        <v>53.499999999999993</v>
      </c>
      <c r="BB37" s="58" t="s">
        <v>920</v>
      </c>
      <c r="BC37" s="58">
        <v>22.340497341819297</v>
      </c>
      <c r="BD37" s="58">
        <v>2.2126137251686249</v>
      </c>
      <c r="BE37" s="58">
        <v>58.823260863773051</v>
      </c>
      <c r="BF37" s="58">
        <v>70.379259229909195</v>
      </c>
      <c r="BG37" s="58">
        <v>92.143076923076933</v>
      </c>
      <c r="BH37" s="58" t="s">
        <v>920</v>
      </c>
      <c r="BI37" s="58">
        <v>88.096612997831116</v>
      </c>
      <c r="BJ37" s="58">
        <v>41.333043187392974</v>
      </c>
      <c r="BK37" s="58" t="s">
        <v>920</v>
      </c>
      <c r="BL37" s="58" t="s">
        <v>920</v>
      </c>
      <c r="BM37" s="58">
        <v>84.952057843384949</v>
      </c>
      <c r="BN37" s="58">
        <v>40.346554910378408</v>
      </c>
      <c r="BO37" s="58">
        <v>48.258321630356143</v>
      </c>
      <c r="BP37" s="58">
        <v>9.5343029813117077</v>
      </c>
      <c r="BQ37" s="58">
        <v>67.67239069740117</v>
      </c>
      <c r="BR37" s="58">
        <v>92.089396853344425</v>
      </c>
      <c r="BS37" s="58" t="s">
        <v>920</v>
      </c>
      <c r="BT37" s="58">
        <v>60.035931064822712</v>
      </c>
      <c r="BU37" s="58">
        <v>59.429280774544743</v>
      </c>
      <c r="BV37" s="58">
        <v>90.624999999941409</v>
      </c>
      <c r="BW37" s="58">
        <v>80.217777494297465</v>
      </c>
      <c r="BX37" s="58">
        <v>100</v>
      </c>
      <c r="BY37" s="58">
        <v>57.113231024471176</v>
      </c>
      <c r="BZ37" s="58">
        <v>72.460854845535337</v>
      </c>
      <c r="CA37" s="58">
        <v>82.165407044552225</v>
      </c>
      <c r="CB37" s="58">
        <v>75.545724801432939</v>
      </c>
      <c r="CC37" s="58" t="s">
        <v>920</v>
      </c>
      <c r="CD37" s="58">
        <v>47.464302978925289</v>
      </c>
      <c r="CE37" s="58">
        <v>33.926375315211708</v>
      </c>
      <c r="CF37" s="58">
        <v>59.723769635490811</v>
      </c>
      <c r="CG37" s="58">
        <v>9.5374570474961722</v>
      </c>
      <c r="CH37" s="58">
        <v>68.275245755138513</v>
      </c>
      <c r="CI37" s="58">
        <v>77.213541666666657</v>
      </c>
      <c r="CJ37" s="58">
        <v>72.448979591836746</v>
      </c>
      <c r="CK37" s="58">
        <v>89.886611045331605</v>
      </c>
      <c r="CL37" s="58">
        <v>100</v>
      </c>
      <c r="CM37" s="58">
        <v>50.302309580702989</v>
      </c>
      <c r="CN37" s="58">
        <v>87.272727272727266</v>
      </c>
      <c r="CO37" s="58">
        <v>98.385360602798713</v>
      </c>
      <c r="CP37" s="58">
        <v>85.698118121255845</v>
      </c>
      <c r="CQ37" s="58">
        <v>15</v>
      </c>
      <c r="CR37" s="58">
        <v>42</v>
      </c>
      <c r="CS37" s="58">
        <v>115</v>
      </c>
      <c r="CT37" s="58">
        <v>1</v>
      </c>
      <c r="CU37" s="58">
        <v>114</v>
      </c>
      <c r="CV37" s="58" t="s">
        <v>920</v>
      </c>
      <c r="CW37" s="58">
        <v>34</v>
      </c>
      <c r="CX37" s="58">
        <v>17</v>
      </c>
      <c r="CY37" s="58">
        <v>29</v>
      </c>
      <c r="CZ37" s="58">
        <v>111</v>
      </c>
      <c r="DA37" s="58">
        <v>62</v>
      </c>
      <c r="DB37" s="58">
        <v>38</v>
      </c>
      <c r="DC37" s="58" t="s">
        <v>920</v>
      </c>
      <c r="DD37" s="58">
        <v>45</v>
      </c>
      <c r="DE37" s="58">
        <v>112</v>
      </c>
      <c r="DF37" s="58">
        <v>46</v>
      </c>
      <c r="DG37" s="58">
        <v>61</v>
      </c>
      <c r="DH37" s="58">
        <v>49</v>
      </c>
      <c r="DI37" s="58" t="s">
        <v>920</v>
      </c>
      <c r="DJ37" s="58">
        <v>16</v>
      </c>
      <c r="DK37" s="58">
        <v>14</v>
      </c>
      <c r="DL37" s="58" t="s">
        <v>920</v>
      </c>
      <c r="DM37" s="58" t="s">
        <v>920</v>
      </c>
      <c r="DN37" s="58">
        <v>30</v>
      </c>
      <c r="DO37" s="58">
        <v>45</v>
      </c>
      <c r="DP37" s="58">
        <v>38</v>
      </c>
      <c r="DQ37" s="58">
        <v>58</v>
      </c>
      <c r="DR37" s="58">
        <v>58</v>
      </c>
      <c r="DS37" s="58">
        <v>54</v>
      </c>
      <c r="DT37" s="58" t="s">
        <v>920</v>
      </c>
      <c r="DU37" s="58">
        <v>35</v>
      </c>
      <c r="DV37" s="58">
        <v>39</v>
      </c>
      <c r="DW37" s="58">
        <v>16</v>
      </c>
      <c r="DX37" s="58">
        <v>14</v>
      </c>
      <c r="DY37" s="58">
        <v>1</v>
      </c>
      <c r="DZ37" s="58">
        <v>79</v>
      </c>
      <c r="EA37" s="58">
        <v>46</v>
      </c>
      <c r="EB37" s="58">
        <v>46</v>
      </c>
      <c r="EC37" s="58">
        <v>6</v>
      </c>
      <c r="ED37" s="58" t="s">
        <v>920</v>
      </c>
      <c r="EE37" s="58">
        <v>16</v>
      </c>
      <c r="EF37" s="58">
        <v>118</v>
      </c>
      <c r="EG37" s="58">
        <v>37</v>
      </c>
      <c r="EH37" s="58">
        <v>79</v>
      </c>
      <c r="EI37" s="58">
        <v>46</v>
      </c>
      <c r="EJ37" s="58">
        <v>54</v>
      </c>
      <c r="EK37" s="58">
        <v>57</v>
      </c>
      <c r="EL37" s="58">
        <v>12</v>
      </c>
      <c r="EM37" s="58">
        <v>1</v>
      </c>
      <c r="EN37" s="58">
        <v>38</v>
      </c>
      <c r="EO37" s="58">
        <v>37</v>
      </c>
      <c r="EP37" s="58">
        <v>3</v>
      </c>
      <c r="EQ37" s="58">
        <v>25</v>
      </c>
    </row>
    <row r="38" spans="1:147" x14ac:dyDescent="0.45">
      <c r="A38" t="s">
        <v>65</v>
      </c>
      <c r="B38" s="59" t="s">
        <v>317</v>
      </c>
      <c r="C38" s="37" t="s">
        <v>10</v>
      </c>
      <c r="D38" s="37" t="s">
        <v>880</v>
      </c>
      <c r="E38" s="104">
        <v>49753.184999999998</v>
      </c>
      <c r="F38" s="104">
        <v>10431000</v>
      </c>
      <c r="G38" s="87">
        <v>61.537048258461887</v>
      </c>
      <c r="H38" s="1" t="s">
        <v>170</v>
      </c>
      <c r="I38" s="58">
        <v>32</v>
      </c>
      <c r="J38" s="87">
        <v>56.972629834428858</v>
      </c>
      <c r="K38" s="87">
        <v>45.996308402564829</v>
      </c>
      <c r="L38" s="87">
        <v>77.747851897305736</v>
      </c>
      <c r="M38" s="87">
        <v>65.431402899548118</v>
      </c>
      <c r="N38" s="58">
        <v>25</v>
      </c>
      <c r="O38" s="58">
        <v>45</v>
      </c>
      <c r="P38" s="58">
        <v>29</v>
      </c>
      <c r="Q38" s="58">
        <v>26</v>
      </c>
      <c r="R38" s="58">
        <v>76.321849318837408</v>
      </c>
      <c r="S38" s="58">
        <v>47.179184215278866</v>
      </c>
      <c r="T38" s="58">
        <v>47.416855969170285</v>
      </c>
      <c r="U38" s="58">
        <v>56.619278994669308</v>
      </c>
      <c r="V38" s="58">
        <v>34.433414198253416</v>
      </c>
      <c r="W38" s="58">
        <v>46.936232014771733</v>
      </c>
      <c r="X38" s="58">
        <v>76.491026402520859</v>
      </c>
      <c r="Y38" s="58">
        <v>85.843809866725607</v>
      </c>
      <c r="Z38" s="58">
        <v>70.908719422670757</v>
      </c>
      <c r="AA38" s="58">
        <v>36.746950503772439</v>
      </c>
      <c r="AB38" s="58">
        <v>74.730617088309131</v>
      </c>
      <c r="AC38" s="58">
        <v>84.816641106562798</v>
      </c>
      <c r="AD38" s="58">
        <v>38</v>
      </c>
      <c r="AE38" s="58">
        <v>23</v>
      </c>
      <c r="AF38" s="58">
        <v>29</v>
      </c>
      <c r="AG38" s="58">
        <v>39</v>
      </c>
      <c r="AH38" s="58">
        <v>51</v>
      </c>
      <c r="AI38" s="58">
        <v>45</v>
      </c>
      <c r="AJ38" s="58">
        <v>37</v>
      </c>
      <c r="AK38" s="58">
        <v>12</v>
      </c>
      <c r="AL38" s="58">
        <v>50</v>
      </c>
      <c r="AM38" s="58">
        <v>49</v>
      </c>
      <c r="AN38" s="58">
        <v>37</v>
      </c>
      <c r="AO38" s="58">
        <v>11</v>
      </c>
      <c r="AP38" s="58">
        <v>60.869338870056403</v>
      </c>
      <c r="AQ38" s="58">
        <v>81.091167659629832</v>
      </c>
      <c r="AR38" s="58">
        <v>41.566840339376796</v>
      </c>
      <c r="AS38" s="58">
        <v>100</v>
      </c>
      <c r="AT38" s="58">
        <v>75.433991963883315</v>
      </c>
      <c r="AU38" s="58">
        <v>98.969757080078097</v>
      </c>
      <c r="AV38" s="58">
        <v>46.523026074977913</v>
      </c>
      <c r="AW38" s="58">
        <v>55.924817262799408</v>
      </c>
      <c r="AX38" s="58">
        <v>70.334644977183885</v>
      </c>
      <c r="AY38" s="58">
        <v>15.934248546154258</v>
      </c>
      <c r="AZ38" s="58">
        <v>76.635941890948317</v>
      </c>
      <c r="BA38" s="58">
        <v>52.750000000000007</v>
      </c>
      <c r="BB38" s="58">
        <v>12.348052235185362</v>
      </c>
      <c r="BC38" s="58">
        <v>47.933429750547482</v>
      </c>
      <c r="BD38" s="58">
        <v>15.776039101970921</v>
      </c>
      <c r="BE38" s="58">
        <v>74.226541087785819</v>
      </c>
      <c r="BF38" s="58">
        <v>76.441549216869049</v>
      </c>
      <c r="BG38" s="58">
        <v>95.089230769230781</v>
      </c>
      <c r="BH38" s="58">
        <v>21.563034797490015</v>
      </c>
      <c r="BI38" s="58">
        <v>59.227409754966374</v>
      </c>
      <c r="BJ38" s="58">
        <v>12.402613674112356</v>
      </c>
      <c r="BK38" s="58">
        <v>46.006955845161471</v>
      </c>
      <c r="BL38" s="58">
        <v>20.096677518773472</v>
      </c>
      <c r="BM38" s="58">
        <v>74.464936658606121</v>
      </c>
      <c r="BN38" s="58">
        <v>47.321775587642101</v>
      </c>
      <c r="BO38" s="58">
        <v>39.421134450310532</v>
      </c>
      <c r="BP38" s="58">
        <v>26.537081362528159</v>
      </c>
      <c r="BQ38" s="58">
        <v>82.672684141585961</v>
      </c>
      <c r="BR38" s="58">
        <v>99.827534938859813</v>
      </c>
      <c r="BS38" s="58" t="s">
        <v>920</v>
      </c>
      <c r="BT38" s="58">
        <v>46.97286012711681</v>
      </c>
      <c r="BU38" s="58">
        <v>61.130891165655221</v>
      </c>
      <c r="BV38" s="58">
        <v>94.374999999964842</v>
      </c>
      <c r="BW38" s="58">
        <v>73.713158168008007</v>
      </c>
      <c r="BX38" s="58">
        <v>100</v>
      </c>
      <c r="BY38" s="58">
        <v>100</v>
      </c>
      <c r="BZ38" s="58">
        <v>62.31485399915362</v>
      </c>
      <c r="CA38" s="58">
        <v>82.014944527976681</v>
      </c>
      <c r="CB38" s="58">
        <v>68.396359740881977</v>
      </c>
      <c r="CC38" s="58" t="s">
        <v>920</v>
      </c>
      <c r="CD38" s="58">
        <v>6.8523769120926046</v>
      </c>
      <c r="CE38" s="58">
        <v>59.141642521346725</v>
      </c>
      <c r="CF38" s="58">
        <v>56.235225052629602</v>
      </c>
      <c r="CG38" s="58">
        <v>24.758557529020827</v>
      </c>
      <c r="CH38" s="58">
        <v>61.50580875781948</v>
      </c>
      <c r="CI38" s="58">
        <v>82.682291666666657</v>
      </c>
      <c r="CJ38" s="58">
        <v>74.234693877551024</v>
      </c>
      <c r="CK38" s="58">
        <v>85.772807803331403</v>
      </c>
      <c r="CL38" s="58">
        <v>100</v>
      </c>
      <c r="CM38" s="58">
        <v>58.024933719265363</v>
      </c>
      <c r="CN38" s="58">
        <v>100</v>
      </c>
      <c r="CO38" s="58">
        <v>88.159311087190531</v>
      </c>
      <c r="CP38" s="58">
        <v>86.164639239590599</v>
      </c>
      <c r="CQ38" s="58">
        <v>76</v>
      </c>
      <c r="CR38" s="58">
        <v>45</v>
      </c>
      <c r="CS38" s="58">
        <v>38</v>
      </c>
      <c r="CT38" s="58">
        <v>1</v>
      </c>
      <c r="CU38" s="58">
        <v>41</v>
      </c>
      <c r="CV38" s="58">
        <v>38</v>
      </c>
      <c r="CW38" s="58">
        <v>24</v>
      </c>
      <c r="CX38" s="58">
        <v>15</v>
      </c>
      <c r="CY38" s="58">
        <v>38</v>
      </c>
      <c r="CZ38" s="58">
        <v>38</v>
      </c>
      <c r="DA38" s="58">
        <v>32</v>
      </c>
      <c r="DB38" s="58">
        <v>39</v>
      </c>
      <c r="DC38" s="58">
        <v>25</v>
      </c>
      <c r="DD38" s="58">
        <v>10</v>
      </c>
      <c r="DE38" s="58">
        <v>63</v>
      </c>
      <c r="DF38" s="58">
        <v>24</v>
      </c>
      <c r="DG38" s="58">
        <v>45</v>
      </c>
      <c r="DH38" s="58">
        <v>37</v>
      </c>
      <c r="DI38" s="58">
        <v>32</v>
      </c>
      <c r="DJ38" s="58">
        <v>55</v>
      </c>
      <c r="DK38" s="58">
        <v>42</v>
      </c>
      <c r="DL38" s="58">
        <v>48</v>
      </c>
      <c r="DM38" s="58">
        <v>41</v>
      </c>
      <c r="DN38" s="58">
        <v>54</v>
      </c>
      <c r="DO38" s="58">
        <v>33</v>
      </c>
      <c r="DP38" s="58">
        <v>57</v>
      </c>
      <c r="DQ38" s="58">
        <v>23</v>
      </c>
      <c r="DR38" s="58">
        <v>33</v>
      </c>
      <c r="DS38" s="58">
        <v>13</v>
      </c>
      <c r="DT38" s="58" t="s">
        <v>920</v>
      </c>
      <c r="DU38" s="58">
        <v>49</v>
      </c>
      <c r="DV38" s="58">
        <v>36</v>
      </c>
      <c r="DW38" s="58">
        <v>5</v>
      </c>
      <c r="DX38" s="58">
        <v>24</v>
      </c>
      <c r="DY38" s="58">
        <v>1</v>
      </c>
      <c r="DZ38" s="58">
        <v>1</v>
      </c>
      <c r="EA38" s="58">
        <v>65</v>
      </c>
      <c r="EB38" s="58">
        <v>47</v>
      </c>
      <c r="EC38" s="58">
        <v>28</v>
      </c>
      <c r="ED38" s="58" t="s">
        <v>920</v>
      </c>
      <c r="EE38" s="58">
        <v>32</v>
      </c>
      <c r="EF38" s="58">
        <v>50</v>
      </c>
      <c r="EG38" s="58">
        <v>39</v>
      </c>
      <c r="EH38" s="58">
        <v>40</v>
      </c>
      <c r="EI38" s="58">
        <v>58</v>
      </c>
      <c r="EJ38" s="58">
        <v>35</v>
      </c>
      <c r="EK38" s="58">
        <v>50</v>
      </c>
      <c r="EL38" s="58">
        <v>24</v>
      </c>
      <c r="EM38" s="58">
        <v>1</v>
      </c>
      <c r="EN38" s="58">
        <v>27</v>
      </c>
      <c r="EO38" s="58">
        <v>1</v>
      </c>
      <c r="EP38" s="58">
        <v>18</v>
      </c>
      <c r="EQ38" s="58">
        <v>24</v>
      </c>
    </row>
    <row r="39" spans="1:147" x14ac:dyDescent="0.45">
      <c r="A39" t="s">
        <v>61</v>
      </c>
      <c r="B39" s="59" t="s">
        <v>316</v>
      </c>
      <c r="C39" s="37" t="s">
        <v>10</v>
      </c>
      <c r="D39" s="37" t="s">
        <v>880</v>
      </c>
      <c r="E39" s="104">
        <v>57716.483</v>
      </c>
      <c r="F39" s="104">
        <v>2118000</v>
      </c>
      <c r="G39" s="87">
        <v>60.808954849317672</v>
      </c>
      <c r="H39" s="1" t="s">
        <v>165</v>
      </c>
      <c r="I39" s="58">
        <v>33</v>
      </c>
      <c r="J39" s="87">
        <v>52.897826854838307</v>
      </c>
      <c r="K39" s="87">
        <v>44.985642111690652</v>
      </c>
      <c r="L39" s="87">
        <v>78.744129754637598</v>
      </c>
      <c r="M39" s="87">
        <v>66.608220676104111</v>
      </c>
      <c r="N39" s="58">
        <v>34</v>
      </c>
      <c r="O39" s="58">
        <v>49</v>
      </c>
      <c r="P39" s="58">
        <v>27</v>
      </c>
      <c r="Q39" s="58">
        <v>23</v>
      </c>
      <c r="R39" s="58">
        <v>78.568631840507962</v>
      </c>
      <c r="S39" s="58">
        <v>36.873287996978853</v>
      </c>
      <c r="T39" s="58">
        <v>43.251560727028121</v>
      </c>
      <c r="U39" s="58">
        <v>46.488830078253038</v>
      </c>
      <c r="V39" s="58">
        <v>39.253309732437444</v>
      </c>
      <c r="W39" s="58">
        <v>49.214786524381473</v>
      </c>
      <c r="X39" s="58">
        <v>82.909163629347958</v>
      </c>
      <c r="Y39" s="58">
        <v>75.081649812532163</v>
      </c>
      <c r="Z39" s="58">
        <v>78.241575822032672</v>
      </c>
      <c r="AA39" s="58">
        <v>30.361647465811409</v>
      </c>
      <c r="AB39" s="58">
        <v>87.908462615751205</v>
      </c>
      <c r="AC39" s="58">
        <v>81.554551946749712</v>
      </c>
      <c r="AD39" s="58">
        <v>27</v>
      </c>
      <c r="AE39" s="58">
        <v>43</v>
      </c>
      <c r="AF39" s="58">
        <v>40</v>
      </c>
      <c r="AG39" s="58">
        <v>82</v>
      </c>
      <c r="AH39" s="58">
        <v>40</v>
      </c>
      <c r="AI39" s="58">
        <v>37</v>
      </c>
      <c r="AJ39" s="58">
        <v>24</v>
      </c>
      <c r="AK39" s="58">
        <v>31</v>
      </c>
      <c r="AL39" s="58">
        <v>29</v>
      </c>
      <c r="AM39" s="58">
        <v>71</v>
      </c>
      <c r="AN39" s="58">
        <v>6</v>
      </c>
      <c r="AO39" s="58">
        <v>23</v>
      </c>
      <c r="AP39" s="58">
        <v>98.052579401889503</v>
      </c>
      <c r="AQ39" s="58">
        <v>81.77166780123919</v>
      </c>
      <c r="AR39" s="58">
        <v>20.583282835590605</v>
      </c>
      <c r="AS39" s="58">
        <v>99.473684210526343</v>
      </c>
      <c r="AT39" s="58">
        <v>71.530576793802155</v>
      </c>
      <c r="AU39" s="58">
        <v>100</v>
      </c>
      <c r="AV39" s="58">
        <v>39.040218499922332</v>
      </c>
      <c r="AW39" s="58">
        <v>29.08266466856244</v>
      </c>
      <c r="AX39" s="58">
        <v>77.26801254874141</v>
      </c>
      <c r="AY39" s="58">
        <v>2.1022562706892205</v>
      </c>
      <c r="AZ39" s="58">
        <v>76.739469776184208</v>
      </c>
      <c r="BA39" s="58">
        <v>51.499999999999993</v>
      </c>
      <c r="BB39" s="58">
        <v>38.477961151007932</v>
      </c>
      <c r="BC39" s="58">
        <v>6.2888119809203546</v>
      </c>
      <c r="BD39" s="58">
        <v>6.455864120928327</v>
      </c>
      <c r="BE39" s="58">
        <v>72.146158471925958</v>
      </c>
      <c r="BF39" s="58">
        <v>79.572350772068873</v>
      </c>
      <c r="BG39" s="58" t="s">
        <v>920</v>
      </c>
      <c r="BH39" s="58">
        <v>27.780946948088985</v>
      </c>
      <c r="BI39" s="58">
        <v>92.98455410609786</v>
      </c>
      <c r="BJ39" s="58">
        <v>14.662645192013052</v>
      </c>
      <c r="BK39" s="58">
        <v>40.292584849367017</v>
      </c>
      <c r="BL39" s="58">
        <v>9.0734547822718632</v>
      </c>
      <c r="BM39" s="58">
        <v>83.633498153294596</v>
      </c>
      <c r="BN39" s="58" t="s">
        <v>920</v>
      </c>
      <c r="BO39" s="58">
        <v>30.442510219765641</v>
      </c>
      <c r="BP39" s="58">
        <v>33.568351200084187</v>
      </c>
      <c r="BQ39" s="58">
        <v>89.720927820028663</v>
      </c>
      <c r="BR39" s="58">
        <v>95.763013647762563</v>
      </c>
      <c r="BS39" s="58" t="s">
        <v>920</v>
      </c>
      <c r="BT39" s="58">
        <v>63.243549420252634</v>
      </c>
      <c r="BU39" s="58">
        <v>60.53193238640057</v>
      </c>
      <c r="BV39" s="58">
        <v>88.749999999929685</v>
      </c>
      <c r="BW39" s="58">
        <v>64.253649733153424</v>
      </c>
      <c r="BX39" s="58">
        <v>75</v>
      </c>
      <c r="BY39" s="58">
        <v>86.872666943177109</v>
      </c>
      <c r="BZ39" s="58">
        <v>76.809140922556068</v>
      </c>
      <c r="CA39" s="58">
        <v>89.042491885217956</v>
      </c>
      <c r="CB39" s="58">
        <v>68.873094658323993</v>
      </c>
      <c r="CC39" s="58" t="s">
        <v>920</v>
      </c>
      <c r="CD39" s="58">
        <v>11.872331317597512</v>
      </c>
      <c r="CE39" s="58">
        <v>44.949428830627433</v>
      </c>
      <c r="CF39" s="58">
        <v>49.972067656239638</v>
      </c>
      <c r="CG39" s="58">
        <v>14.652762058781047</v>
      </c>
      <c r="CH39" s="58">
        <v>78.909740840035752</v>
      </c>
      <c r="CI39" s="58">
        <v>93.359374999999986</v>
      </c>
      <c r="CJ39" s="58">
        <v>97.704081632653072</v>
      </c>
      <c r="CK39" s="58">
        <v>85.208462381782695</v>
      </c>
      <c r="CL39" s="58">
        <v>100</v>
      </c>
      <c r="CM39" s="58">
        <v>60.806251261319098</v>
      </c>
      <c r="CN39" s="58">
        <v>95.454545454545453</v>
      </c>
      <c r="CO39" s="58">
        <v>80.624327233584495</v>
      </c>
      <c r="CP39" s="58">
        <v>78.666167675099629</v>
      </c>
      <c r="CQ39" s="58">
        <v>3</v>
      </c>
      <c r="CR39" s="58">
        <v>44</v>
      </c>
      <c r="CS39" s="58">
        <v>90</v>
      </c>
      <c r="CT39" s="58">
        <v>29</v>
      </c>
      <c r="CU39" s="58">
        <v>64</v>
      </c>
      <c r="CV39" s="58">
        <v>1</v>
      </c>
      <c r="CW39" s="58">
        <v>28</v>
      </c>
      <c r="CX39" s="58">
        <v>26</v>
      </c>
      <c r="CY39" s="58">
        <v>13</v>
      </c>
      <c r="CZ39" s="58">
        <v>81</v>
      </c>
      <c r="DA39" s="58">
        <v>31</v>
      </c>
      <c r="DB39" s="58">
        <v>41</v>
      </c>
      <c r="DC39" s="58">
        <v>9</v>
      </c>
      <c r="DD39" s="58">
        <v>91</v>
      </c>
      <c r="DE39" s="58">
        <v>88</v>
      </c>
      <c r="DF39" s="58">
        <v>27</v>
      </c>
      <c r="DG39" s="58">
        <v>30</v>
      </c>
      <c r="DH39" s="58" t="s">
        <v>920</v>
      </c>
      <c r="DI39" s="58">
        <v>26</v>
      </c>
      <c r="DJ39" s="58">
        <v>6</v>
      </c>
      <c r="DK39" s="58">
        <v>37</v>
      </c>
      <c r="DL39" s="58">
        <v>65</v>
      </c>
      <c r="DM39" s="58">
        <v>53</v>
      </c>
      <c r="DN39" s="58">
        <v>32</v>
      </c>
      <c r="DO39" s="58" t="s">
        <v>920</v>
      </c>
      <c r="DP39" s="58">
        <v>76</v>
      </c>
      <c r="DQ39" s="58">
        <v>17</v>
      </c>
      <c r="DR39" s="58">
        <v>15</v>
      </c>
      <c r="DS39" s="58">
        <v>44</v>
      </c>
      <c r="DT39" s="58" t="s">
        <v>920</v>
      </c>
      <c r="DU39" s="58">
        <v>29</v>
      </c>
      <c r="DV39" s="58">
        <v>37</v>
      </c>
      <c r="DW39" s="58">
        <v>22</v>
      </c>
      <c r="DX39" s="58">
        <v>33</v>
      </c>
      <c r="DY39" s="58">
        <v>72</v>
      </c>
      <c r="DZ39" s="58">
        <v>18</v>
      </c>
      <c r="EA39" s="58">
        <v>37</v>
      </c>
      <c r="EB39" s="58">
        <v>31</v>
      </c>
      <c r="EC39" s="58">
        <v>25</v>
      </c>
      <c r="ED39" s="58" t="s">
        <v>920</v>
      </c>
      <c r="EE39" s="58">
        <v>29</v>
      </c>
      <c r="EF39" s="58">
        <v>88</v>
      </c>
      <c r="EG39" s="58">
        <v>50</v>
      </c>
      <c r="EH39" s="58">
        <v>60</v>
      </c>
      <c r="EI39" s="58">
        <v>19</v>
      </c>
      <c r="EJ39" s="58">
        <v>10</v>
      </c>
      <c r="EK39" s="58">
        <v>2</v>
      </c>
      <c r="EL39" s="58">
        <v>25</v>
      </c>
      <c r="EM39" s="58">
        <v>1</v>
      </c>
      <c r="EN39" s="58">
        <v>21</v>
      </c>
      <c r="EO39" s="58">
        <v>20</v>
      </c>
      <c r="EP39" s="58">
        <v>43</v>
      </c>
      <c r="EQ39" s="58">
        <v>34</v>
      </c>
    </row>
    <row r="40" spans="1:147" x14ac:dyDescent="0.45">
      <c r="A40" t="s">
        <v>27</v>
      </c>
      <c r="B40" s="59" t="s">
        <v>321</v>
      </c>
      <c r="C40" s="37" t="s">
        <v>29</v>
      </c>
      <c r="D40" s="37" t="s">
        <v>880</v>
      </c>
      <c r="E40" s="104">
        <v>74668.069000000003</v>
      </c>
      <c r="F40" s="104">
        <v>33264000</v>
      </c>
      <c r="G40" s="87">
        <v>60.201982008531964</v>
      </c>
      <c r="H40" s="1" t="s">
        <v>179</v>
      </c>
      <c r="I40" s="58">
        <v>34</v>
      </c>
      <c r="J40" s="87">
        <v>56.604284349547477</v>
      </c>
      <c r="K40" s="87">
        <v>52.970444029195306</v>
      </c>
      <c r="L40" s="87">
        <v>76.194334273402561</v>
      </c>
      <c r="M40" s="87">
        <v>55.038865381982504</v>
      </c>
      <c r="N40" s="58">
        <v>27</v>
      </c>
      <c r="O40" s="58">
        <v>27</v>
      </c>
      <c r="P40" s="58">
        <v>31</v>
      </c>
      <c r="Q40" s="58">
        <v>55</v>
      </c>
      <c r="R40" s="58">
        <v>83.637092678789401</v>
      </c>
      <c r="S40" s="58">
        <v>26.442718386386481</v>
      </c>
      <c r="T40" s="58">
        <v>59.733041983466563</v>
      </c>
      <c r="U40" s="58">
        <v>69.309076258567003</v>
      </c>
      <c r="V40" s="58">
        <v>29.512882010563821</v>
      </c>
      <c r="W40" s="58">
        <v>60.089373818455108</v>
      </c>
      <c r="X40" s="58">
        <v>71.391586825638981</v>
      </c>
      <c r="Y40" s="58">
        <v>76.384883776417297</v>
      </c>
      <c r="Z40" s="58">
        <v>80.806532218151375</v>
      </c>
      <c r="AA40" s="58">
        <v>37.582251068563764</v>
      </c>
      <c r="AB40" s="58">
        <v>79.279472803380003</v>
      </c>
      <c r="AC40" s="58">
        <v>48.254872274003745</v>
      </c>
      <c r="AD40" s="58">
        <v>7</v>
      </c>
      <c r="AE40" s="58">
        <v>60</v>
      </c>
      <c r="AF40" s="58">
        <v>12</v>
      </c>
      <c r="AG40" s="58">
        <v>10</v>
      </c>
      <c r="AH40" s="58">
        <v>69</v>
      </c>
      <c r="AI40" s="58">
        <v>22</v>
      </c>
      <c r="AJ40" s="58">
        <v>47</v>
      </c>
      <c r="AK40" s="58">
        <v>30</v>
      </c>
      <c r="AL40" s="58">
        <v>20</v>
      </c>
      <c r="AM40" s="58">
        <v>46</v>
      </c>
      <c r="AN40" s="58">
        <v>23</v>
      </c>
      <c r="AO40" s="58">
        <v>110</v>
      </c>
      <c r="AP40" s="58">
        <v>73.807057526245501</v>
      </c>
      <c r="AQ40" s="58">
        <v>92.21904596126808</v>
      </c>
      <c r="AR40" s="58">
        <v>48.450486630170566</v>
      </c>
      <c r="AS40" s="58">
        <v>100</v>
      </c>
      <c r="AT40" s="58">
        <v>87.345965955052236</v>
      </c>
      <c r="AU40" s="58">
        <v>100</v>
      </c>
      <c r="AV40" s="58">
        <v>3.2715299758115308</v>
      </c>
      <c r="AW40" s="58">
        <v>1.9027439524948186</v>
      </c>
      <c r="AX40" s="58">
        <v>64.944980321320912</v>
      </c>
      <c r="AY40" s="58">
        <v>35.651619295918664</v>
      </c>
      <c r="AZ40" s="58">
        <v>95.385071969134898</v>
      </c>
      <c r="BA40" s="58">
        <v>61.5</v>
      </c>
      <c r="BB40" s="58" t="s">
        <v>920</v>
      </c>
      <c r="BC40" s="58">
        <v>22.314053981264767</v>
      </c>
      <c r="BD40" s="58">
        <v>60.815636126569984</v>
      </c>
      <c r="BE40" s="58">
        <v>81.04757226705928</v>
      </c>
      <c r="BF40" s="58">
        <v>100</v>
      </c>
      <c r="BG40" s="58">
        <v>96.809953846153846</v>
      </c>
      <c r="BH40" s="58">
        <v>7.8722190530519098</v>
      </c>
      <c r="BI40" s="58">
        <v>21.370533217538387</v>
      </c>
      <c r="BJ40" s="58">
        <v>9.665360666730729</v>
      </c>
      <c r="BK40" s="58">
        <v>59.681977413890053</v>
      </c>
      <c r="BL40" s="58">
        <v>27.333656744096118</v>
      </c>
      <c r="BM40" s="58">
        <v>98.790919262280283</v>
      </c>
      <c r="BN40" s="58">
        <v>45.838783518009357</v>
      </c>
      <c r="BO40" s="58">
        <v>86.905432434394498</v>
      </c>
      <c r="BP40" s="58">
        <v>8.8223600591362779</v>
      </c>
      <c r="BQ40" s="58">
        <v>49.612039055819764</v>
      </c>
      <c r="BR40" s="58">
        <v>100</v>
      </c>
      <c r="BS40" s="58" t="s">
        <v>920</v>
      </c>
      <c r="BT40" s="58">
        <v>64.562721421097194</v>
      </c>
      <c r="BU40" s="58">
        <v>55.167883391104354</v>
      </c>
      <c r="BV40" s="58">
        <v>92.499999999953118</v>
      </c>
      <c r="BW40" s="58">
        <v>76.977398203596366</v>
      </c>
      <c r="BX40" s="58">
        <v>100</v>
      </c>
      <c r="BY40" s="58">
        <v>57.279137287432604</v>
      </c>
      <c r="BZ40" s="58">
        <v>95.651713922979269</v>
      </c>
      <c r="CA40" s="58">
        <v>86.992595385879795</v>
      </c>
      <c r="CB40" s="58">
        <v>67.92646189210781</v>
      </c>
      <c r="CC40" s="58">
        <v>72.655357671638654</v>
      </c>
      <c r="CD40" s="58">
        <v>5.7557437166976175</v>
      </c>
      <c r="CE40" s="58">
        <v>72.749031718955365</v>
      </c>
      <c r="CF40" s="58">
        <v>68.011627429877208</v>
      </c>
      <c r="CG40" s="58">
        <v>3.8126014087248334</v>
      </c>
      <c r="CH40" s="58">
        <v>74.620196604110816</v>
      </c>
      <c r="CI40" s="58">
        <v>87.369791666666671</v>
      </c>
      <c r="CJ40" s="58" t="s">
        <v>920</v>
      </c>
      <c r="CK40" s="58">
        <v>72.417387475345123</v>
      </c>
      <c r="CL40" s="58">
        <v>86.666666666666671</v>
      </c>
      <c r="CM40" s="58">
        <v>20.611169722778939</v>
      </c>
      <c r="CN40" s="58">
        <v>58.18181818181818</v>
      </c>
      <c r="CO40" s="58">
        <v>50.269106566200215</v>
      </c>
      <c r="CP40" s="58">
        <v>41.248122583768655</v>
      </c>
      <c r="CQ40" s="58">
        <v>53</v>
      </c>
      <c r="CR40" s="58">
        <v>24</v>
      </c>
      <c r="CS40" s="58">
        <v>23</v>
      </c>
      <c r="CT40" s="58">
        <v>1</v>
      </c>
      <c r="CU40" s="58">
        <v>8</v>
      </c>
      <c r="CV40" s="58">
        <v>1</v>
      </c>
      <c r="CW40" s="58">
        <v>90</v>
      </c>
      <c r="CX40" s="58">
        <v>82</v>
      </c>
      <c r="CY40" s="58">
        <v>64</v>
      </c>
      <c r="CZ40" s="58">
        <v>22</v>
      </c>
      <c r="DA40" s="58">
        <v>8</v>
      </c>
      <c r="DB40" s="58">
        <v>30</v>
      </c>
      <c r="DC40" s="58" t="s">
        <v>920</v>
      </c>
      <c r="DD40" s="58">
        <v>46</v>
      </c>
      <c r="DE40" s="58">
        <v>6</v>
      </c>
      <c r="DF40" s="58">
        <v>11</v>
      </c>
      <c r="DG40" s="58">
        <v>1</v>
      </c>
      <c r="DH40" s="58">
        <v>33</v>
      </c>
      <c r="DI40" s="58">
        <v>39</v>
      </c>
      <c r="DJ40" s="58">
        <v>103</v>
      </c>
      <c r="DK40" s="58">
        <v>49</v>
      </c>
      <c r="DL40" s="58">
        <v>16</v>
      </c>
      <c r="DM40" s="58">
        <v>27</v>
      </c>
      <c r="DN40" s="58">
        <v>4</v>
      </c>
      <c r="DO40" s="58">
        <v>38</v>
      </c>
      <c r="DP40" s="58">
        <v>6</v>
      </c>
      <c r="DQ40" s="58">
        <v>61</v>
      </c>
      <c r="DR40" s="58">
        <v>85</v>
      </c>
      <c r="DS40" s="58">
        <v>1</v>
      </c>
      <c r="DT40" s="58" t="s">
        <v>920</v>
      </c>
      <c r="DU40" s="58">
        <v>26</v>
      </c>
      <c r="DV40" s="58">
        <v>47</v>
      </c>
      <c r="DW40" s="58">
        <v>11</v>
      </c>
      <c r="DX40" s="58">
        <v>18</v>
      </c>
      <c r="DY40" s="58">
        <v>1</v>
      </c>
      <c r="DZ40" s="58">
        <v>78</v>
      </c>
      <c r="EA40" s="58">
        <v>7</v>
      </c>
      <c r="EB40" s="58">
        <v>37</v>
      </c>
      <c r="EC40" s="58">
        <v>31</v>
      </c>
      <c r="ED40" s="58">
        <v>25</v>
      </c>
      <c r="EE40" s="58">
        <v>34</v>
      </c>
      <c r="EF40" s="58">
        <v>18</v>
      </c>
      <c r="EG40" s="58">
        <v>25</v>
      </c>
      <c r="EH40" s="58">
        <v>101</v>
      </c>
      <c r="EI40" s="58">
        <v>29</v>
      </c>
      <c r="EJ40" s="58">
        <v>25</v>
      </c>
      <c r="EK40" s="58" t="s">
        <v>920</v>
      </c>
      <c r="EL40" s="58">
        <v>42</v>
      </c>
      <c r="EM40" s="58">
        <v>63</v>
      </c>
      <c r="EN40" s="58">
        <v>66</v>
      </c>
      <c r="EO40" s="58">
        <v>107</v>
      </c>
      <c r="EP40" s="58">
        <v>109</v>
      </c>
      <c r="EQ40" s="58">
        <v>95</v>
      </c>
    </row>
    <row r="41" spans="1:147" x14ac:dyDescent="0.45">
      <c r="A41" t="s">
        <v>66</v>
      </c>
      <c r="B41" s="59" t="s">
        <v>322</v>
      </c>
      <c r="C41" s="37" t="s">
        <v>10</v>
      </c>
      <c r="D41" s="37" t="s">
        <v>880</v>
      </c>
      <c r="E41" s="104">
        <v>55340.224000000002</v>
      </c>
      <c r="F41" s="104">
        <v>38763000</v>
      </c>
      <c r="G41" s="87">
        <v>59.404687604262804</v>
      </c>
      <c r="H41" s="1" t="s">
        <v>172</v>
      </c>
      <c r="I41" s="58">
        <v>35</v>
      </c>
      <c r="J41" s="87">
        <v>49.936896952936998</v>
      </c>
      <c r="K41" s="87">
        <v>47.510317860108891</v>
      </c>
      <c r="L41" s="87">
        <v>75.207110992275645</v>
      </c>
      <c r="M41" s="87">
        <v>64.964424611729669</v>
      </c>
      <c r="N41" s="58">
        <v>41</v>
      </c>
      <c r="O41" s="58">
        <v>40</v>
      </c>
      <c r="P41" s="58">
        <v>34</v>
      </c>
      <c r="Q41" s="58">
        <v>29</v>
      </c>
      <c r="R41" s="58">
        <v>78.593984661612311</v>
      </c>
      <c r="S41" s="58">
        <v>37.597634871016865</v>
      </c>
      <c r="T41" s="58">
        <v>33.619071326181817</v>
      </c>
      <c r="U41" s="58">
        <v>62.659512603749342</v>
      </c>
      <c r="V41" s="58">
        <v>35.221069651110639</v>
      </c>
      <c r="W41" s="58">
        <v>44.650371325466686</v>
      </c>
      <c r="X41" s="58">
        <v>80.31755141241382</v>
      </c>
      <c r="Y41" s="58">
        <v>69.015079644419117</v>
      </c>
      <c r="Z41" s="58">
        <v>76.288701919993954</v>
      </c>
      <c r="AA41" s="58">
        <v>39.682568821034302</v>
      </c>
      <c r="AB41" s="58">
        <v>75.781831359587031</v>
      </c>
      <c r="AC41" s="58">
        <v>79.428873654567667</v>
      </c>
      <c r="AD41" s="58">
        <v>26</v>
      </c>
      <c r="AE41" s="58">
        <v>42</v>
      </c>
      <c r="AF41" s="58">
        <v>68</v>
      </c>
      <c r="AG41" s="58">
        <v>20</v>
      </c>
      <c r="AH41" s="58">
        <v>47</v>
      </c>
      <c r="AI41" s="58">
        <v>57</v>
      </c>
      <c r="AJ41" s="58">
        <v>34</v>
      </c>
      <c r="AK41" s="58">
        <v>45</v>
      </c>
      <c r="AL41" s="58">
        <v>36</v>
      </c>
      <c r="AM41" s="58">
        <v>39</v>
      </c>
      <c r="AN41" s="58">
        <v>32</v>
      </c>
      <c r="AO41" s="58">
        <v>27</v>
      </c>
      <c r="AP41" s="58">
        <v>77.430661394555202</v>
      </c>
      <c r="AQ41" s="58">
        <v>79.53671600005795</v>
      </c>
      <c r="AR41" s="58">
        <v>44.953569884690872</v>
      </c>
      <c r="AS41" s="58">
        <v>100</v>
      </c>
      <c r="AT41" s="58">
        <v>69.642960690369804</v>
      </c>
      <c r="AU41" s="58">
        <v>100</v>
      </c>
      <c r="AV41" s="58">
        <v>41.317034943805709</v>
      </c>
      <c r="AW41" s="58">
        <v>19.798734419746776</v>
      </c>
      <c r="AX41" s="58">
        <v>71.552254077911499</v>
      </c>
      <c r="AY41" s="58">
        <v>17.722516042603484</v>
      </c>
      <c r="AZ41" s="58">
        <v>67.279781809230315</v>
      </c>
      <c r="BA41" s="58">
        <v>37.250000000000007</v>
      </c>
      <c r="BB41" s="58">
        <v>9.8688155171764667</v>
      </c>
      <c r="BC41" s="58">
        <v>20.077687978320487</v>
      </c>
      <c r="BD41" s="58">
        <v>40.172593555715856</v>
      </c>
      <c r="BE41" s="58">
        <v>56.303540573923158</v>
      </c>
      <c r="BF41" s="58">
        <v>76.687708146644198</v>
      </c>
      <c r="BG41" s="58">
        <v>99.688769230769239</v>
      </c>
      <c r="BH41" s="58">
        <v>40.444951511694235</v>
      </c>
      <c r="BI41" s="58">
        <v>53.426333043845965</v>
      </c>
      <c r="BJ41" s="58">
        <v>4.4543658678857785</v>
      </c>
      <c r="BK41" s="58">
        <v>55.016742424643553</v>
      </c>
      <c r="BL41" s="58">
        <v>27.986837268067276</v>
      </c>
      <c r="BM41" s="58">
        <v>76.385029054029673</v>
      </c>
      <c r="BN41" s="58" t="s">
        <v>920</v>
      </c>
      <c r="BO41" s="58">
        <v>33.024925463926039</v>
      </c>
      <c r="BP41" s="58">
        <v>24.541159458444326</v>
      </c>
      <c r="BQ41" s="58">
        <v>85.575583791050803</v>
      </c>
      <c r="BR41" s="58">
        <v>92.234709132565953</v>
      </c>
      <c r="BS41" s="58">
        <v>86.172332294078032</v>
      </c>
      <c r="BT41" s="58">
        <v>57.287580431960492</v>
      </c>
      <c r="BU41" s="58">
        <v>61.752428044371186</v>
      </c>
      <c r="BV41" s="58">
        <v>82.187499999888672</v>
      </c>
      <c r="BW41" s="58">
        <v>40.455254499693908</v>
      </c>
      <c r="BX41" s="58">
        <v>100</v>
      </c>
      <c r="BY41" s="58">
        <v>60.680215678141856</v>
      </c>
      <c r="BZ41" s="58">
        <v>73.910283537875571</v>
      </c>
      <c r="CA41" s="58">
        <v>81.727295513322247</v>
      </c>
      <c r="CB41" s="58">
        <v>67.538804792724633</v>
      </c>
      <c r="CC41" s="58">
        <v>81.978423836053381</v>
      </c>
      <c r="CD41" s="58">
        <v>5.7562551632980288</v>
      </c>
      <c r="CE41" s="58">
        <v>71.690394784367911</v>
      </c>
      <c r="CF41" s="58">
        <v>54.184643838945568</v>
      </c>
      <c r="CG41" s="58">
        <v>27.098981497525692</v>
      </c>
      <c r="CH41" s="58">
        <v>76.251117068811453</v>
      </c>
      <c r="CI41" s="58">
        <v>71.09375</v>
      </c>
      <c r="CJ41" s="58">
        <v>88.010204081632651</v>
      </c>
      <c r="CK41" s="58">
        <v>71.991049938266585</v>
      </c>
      <c r="CL41" s="58">
        <v>100</v>
      </c>
      <c r="CM41" s="58">
        <v>64.091313062508448</v>
      </c>
      <c r="CN41" s="58">
        <v>90.909090909090907</v>
      </c>
      <c r="CO41" s="58">
        <v>80.624327233584495</v>
      </c>
      <c r="CP41" s="58">
        <v>64.181526826173638</v>
      </c>
      <c r="CQ41" s="58">
        <v>43</v>
      </c>
      <c r="CR41" s="58">
        <v>48</v>
      </c>
      <c r="CS41" s="58">
        <v>33</v>
      </c>
      <c r="CT41" s="58">
        <v>1</v>
      </c>
      <c r="CU41" s="58">
        <v>72</v>
      </c>
      <c r="CV41" s="58">
        <v>1</v>
      </c>
      <c r="CW41" s="58">
        <v>25</v>
      </c>
      <c r="CX41" s="58">
        <v>35</v>
      </c>
      <c r="CY41" s="58">
        <v>28</v>
      </c>
      <c r="CZ41" s="58">
        <v>37</v>
      </c>
      <c r="DA41" s="58">
        <v>44</v>
      </c>
      <c r="DB41" s="58">
        <v>71</v>
      </c>
      <c r="DC41" s="58">
        <v>29</v>
      </c>
      <c r="DD41" s="58">
        <v>53</v>
      </c>
      <c r="DE41" s="58">
        <v>23</v>
      </c>
      <c r="DF41" s="58">
        <v>54</v>
      </c>
      <c r="DG41" s="58">
        <v>43</v>
      </c>
      <c r="DH41" s="58">
        <v>11</v>
      </c>
      <c r="DI41" s="58">
        <v>12</v>
      </c>
      <c r="DJ41" s="58">
        <v>65</v>
      </c>
      <c r="DK41" s="58">
        <v>66</v>
      </c>
      <c r="DL41" s="58">
        <v>23</v>
      </c>
      <c r="DM41" s="58">
        <v>26</v>
      </c>
      <c r="DN41" s="58">
        <v>50</v>
      </c>
      <c r="DO41" s="58" t="s">
        <v>920</v>
      </c>
      <c r="DP41" s="58">
        <v>73</v>
      </c>
      <c r="DQ41" s="58">
        <v>26</v>
      </c>
      <c r="DR41" s="58">
        <v>25</v>
      </c>
      <c r="DS41" s="58">
        <v>52</v>
      </c>
      <c r="DT41" s="58">
        <v>3</v>
      </c>
      <c r="DU41" s="58">
        <v>39</v>
      </c>
      <c r="DV41" s="58">
        <v>34</v>
      </c>
      <c r="DW41" s="58">
        <v>39</v>
      </c>
      <c r="DX41" s="58">
        <v>74</v>
      </c>
      <c r="DY41" s="58">
        <v>1</v>
      </c>
      <c r="DZ41" s="58">
        <v>72</v>
      </c>
      <c r="EA41" s="58">
        <v>42</v>
      </c>
      <c r="EB41" s="58">
        <v>48</v>
      </c>
      <c r="EC41" s="58">
        <v>38</v>
      </c>
      <c r="ED41" s="58">
        <v>10</v>
      </c>
      <c r="EE41" s="58">
        <v>33</v>
      </c>
      <c r="EF41" s="58">
        <v>20</v>
      </c>
      <c r="EG41" s="58">
        <v>43</v>
      </c>
      <c r="EH41" s="58">
        <v>35</v>
      </c>
      <c r="EI41" s="58">
        <v>25</v>
      </c>
      <c r="EJ41" s="58">
        <v>61</v>
      </c>
      <c r="EK41" s="58">
        <v>15</v>
      </c>
      <c r="EL41" s="58">
        <v>44</v>
      </c>
      <c r="EM41" s="58">
        <v>1</v>
      </c>
      <c r="EN41" s="58">
        <v>14</v>
      </c>
      <c r="EO41" s="58">
        <v>28</v>
      </c>
      <c r="EP41" s="58">
        <v>43</v>
      </c>
      <c r="EQ41" s="58">
        <v>60</v>
      </c>
    </row>
    <row r="42" spans="1:147" x14ac:dyDescent="0.45">
      <c r="A42" t="s">
        <v>77</v>
      </c>
      <c r="B42" s="59" t="s">
        <v>341</v>
      </c>
      <c r="C42" s="37" t="s">
        <v>29</v>
      </c>
      <c r="D42" s="37" t="s">
        <v>880</v>
      </c>
      <c r="E42" s="104">
        <v>69270.718999999997</v>
      </c>
      <c r="F42" s="104">
        <v>1570000</v>
      </c>
      <c r="G42" s="87">
        <v>58.674997413420542</v>
      </c>
      <c r="H42" s="1" t="s">
        <v>190</v>
      </c>
      <c r="I42" s="58">
        <v>36</v>
      </c>
      <c r="J42" s="87">
        <v>45.873859034521566</v>
      </c>
      <c r="K42" s="87">
        <v>53.059040199747272</v>
      </c>
      <c r="L42" s="87">
        <v>77.582180430664096</v>
      </c>
      <c r="M42" s="87">
        <v>58.184909988749233</v>
      </c>
      <c r="N42" s="58">
        <v>55</v>
      </c>
      <c r="O42" s="58">
        <v>26</v>
      </c>
      <c r="P42" s="58">
        <v>30</v>
      </c>
      <c r="Q42" s="58">
        <v>47</v>
      </c>
      <c r="R42" s="58">
        <v>70.308557095834885</v>
      </c>
      <c r="S42" s="58">
        <v>18.154036016834858</v>
      </c>
      <c r="T42" s="58">
        <v>49.158983990894967</v>
      </c>
      <c r="U42" s="58">
        <v>66.479795777577067</v>
      </c>
      <c r="V42" s="58">
        <v>36.435860721531974</v>
      </c>
      <c r="W42" s="58">
        <v>56.26146410013277</v>
      </c>
      <c r="X42" s="58">
        <v>84.449170339278808</v>
      </c>
      <c r="Y42" s="58">
        <v>71.637976407514756</v>
      </c>
      <c r="Z42" s="58">
        <v>76.659394545198708</v>
      </c>
      <c r="AA42" s="58">
        <v>44.187846074204778</v>
      </c>
      <c r="AB42" s="58">
        <v>72.799278355386292</v>
      </c>
      <c r="AC42" s="58">
        <v>57.567605536656629</v>
      </c>
      <c r="AD42" s="58">
        <v>61</v>
      </c>
      <c r="AE42" s="58">
        <v>88</v>
      </c>
      <c r="AF42" s="58">
        <v>25</v>
      </c>
      <c r="AG42" s="58">
        <v>15</v>
      </c>
      <c r="AH42" s="58">
        <v>44</v>
      </c>
      <c r="AI42" s="58">
        <v>25</v>
      </c>
      <c r="AJ42" s="58">
        <v>20</v>
      </c>
      <c r="AK42" s="58">
        <v>37</v>
      </c>
      <c r="AL42" s="58">
        <v>34</v>
      </c>
      <c r="AM42" s="58">
        <v>30</v>
      </c>
      <c r="AN42" s="58">
        <v>43</v>
      </c>
      <c r="AO42" s="58">
        <v>88</v>
      </c>
      <c r="AP42" s="58">
        <v>60.348551759900502</v>
      </c>
      <c r="AQ42" s="58">
        <v>74.442836927369967</v>
      </c>
      <c r="AR42" s="58">
        <v>12.476085458038797</v>
      </c>
      <c r="AS42" s="58">
        <v>100</v>
      </c>
      <c r="AT42" s="58">
        <v>74.58386842970009</v>
      </c>
      <c r="AU42" s="58">
        <v>100</v>
      </c>
      <c r="AV42" s="58">
        <v>8.6646208224372909</v>
      </c>
      <c r="AW42" s="58">
        <v>3.1293972335997102</v>
      </c>
      <c r="AX42" s="58">
        <v>59.504938951923627</v>
      </c>
      <c r="AY42" s="58">
        <v>1.3171870593788078</v>
      </c>
      <c r="AZ42" s="58">
        <v>63.635255155976253</v>
      </c>
      <c r="BA42" s="58" t="s">
        <v>920</v>
      </c>
      <c r="BB42" s="58" t="s">
        <v>920</v>
      </c>
      <c r="BC42" s="58">
        <v>34.682712825813688</v>
      </c>
      <c r="BD42" s="58">
        <v>9.6309095860733116</v>
      </c>
      <c r="BE42" s="58">
        <v>72.254803908639389</v>
      </c>
      <c r="BF42" s="58">
        <v>87.110392692518658</v>
      </c>
      <c r="BG42" s="58">
        <v>96.92307692307692</v>
      </c>
      <c r="BH42" s="58" t="s">
        <v>920</v>
      </c>
      <c r="BI42" s="58">
        <v>81.730922252181387</v>
      </c>
      <c r="BJ42" s="58">
        <v>24.757475610569234</v>
      </c>
      <c r="BK42" s="58">
        <v>38.079869067427978</v>
      </c>
      <c r="BL42" s="58">
        <v>1.1751759559492874</v>
      </c>
      <c r="BM42" s="58">
        <v>88.336280843589464</v>
      </c>
      <c r="BN42" s="58">
        <v>18.773546845109877</v>
      </c>
      <c r="BO42" s="58">
        <v>61.674564611698969</v>
      </c>
      <c r="BP42" s="58" t="s">
        <v>920</v>
      </c>
      <c r="BQ42" s="58">
        <v>71.375640838936576</v>
      </c>
      <c r="BR42" s="58">
        <v>97.52269983962104</v>
      </c>
      <c r="BS42" s="58" t="s">
        <v>920</v>
      </c>
      <c r="BT42" s="58" t="s">
        <v>920</v>
      </c>
      <c r="BU42" s="58">
        <v>69.204552241250312</v>
      </c>
      <c r="BV42" s="58">
        <v>76.562499999853515</v>
      </c>
      <c r="BW42" s="58">
        <v>76.296741036619238</v>
      </c>
      <c r="BX42" s="58">
        <v>100</v>
      </c>
      <c r="BY42" s="58">
        <v>36.126088759850681</v>
      </c>
      <c r="BZ42" s="58">
        <v>89.853999153618275</v>
      </c>
      <c r="CA42" s="58">
        <v>72.19772258987004</v>
      </c>
      <c r="CB42" s="58">
        <v>67.92646189210781</v>
      </c>
      <c r="CC42" s="58" t="s">
        <v>920</v>
      </c>
      <c r="CD42" s="58" t="s">
        <v>920</v>
      </c>
      <c r="CE42" s="58">
        <v>43.851277487984277</v>
      </c>
      <c r="CF42" s="58">
        <v>61.795497369309786</v>
      </c>
      <c r="CG42" s="58">
        <v>26.916763365320271</v>
      </c>
      <c r="CH42" s="58">
        <v>61.885612153708678</v>
      </c>
      <c r="CI42" s="58">
        <v>86.328125</v>
      </c>
      <c r="CJ42" s="58" t="s">
        <v>920</v>
      </c>
      <c r="CK42" s="58">
        <v>67.568917469514119</v>
      </c>
      <c r="CL42" s="58">
        <v>91.111111111111114</v>
      </c>
      <c r="CM42" s="58" t="s">
        <v>920</v>
      </c>
      <c r="CN42" s="58">
        <v>53.63636363636364</v>
      </c>
      <c r="CO42" s="58">
        <v>25.511302475780411</v>
      </c>
      <c r="CP42" s="58">
        <v>95.99918988454057</v>
      </c>
      <c r="CQ42" s="58">
        <v>78</v>
      </c>
      <c r="CR42" s="58">
        <v>54</v>
      </c>
      <c r="CS42" s="58">
        <v>109</v>
      </c>
      <c r="CT42" s="58">
        <v>1</v>
      </c>
      <c r="CU42" s="58">
        <v>47</v>
      </c>
      <c r="CV42" s="58">
        <v>1</v>
      </c>
      <c r="CW42" s="58">
        <v>58</v>
      </c>
      <c r="CX42" s="58">
        <v>70</v>
      </c>
      <c r="CY42" s="58">
        <v>81</v>
      </c>
      <c r="CZ42" s="58">
        <v>92</v>
      </c>
      <c r="DA42" s="58">
        <v>57</v>
      </c>
      <c r="DB42" s="58" t="s">
        <v>920</v>
      </c>
      <c r="DC42" s="58" t="s">
        <v>920</v>
      </c>
      <c r="DD42" s="58">
        <v>22</v>
      </c>
      <c r="DE42" s="58">
        <v>79</v>
      </c>
      <c r="DF42" s="58">
        <v>26</v>
      </c>
      <c r="DG42" s="58">
        <v>8</v>
      </c>
      <c r="DH42" s="58">
        <v>28</v>
      </c>
      <c r="DI42" s="58" t="s">
        <v>920</v>
      </c>
      <c r="DJ42" s="58">
        <v>24</v>
      </c>
      <c r="DK42" s="58">
        <v>24</v>
      </c>
      <c r="DL42" s="58">
        <v>76</v>
      </c>
      <c r="DM42" s="58">
        <v>94</v>
      </c>
      <c r="DN42" s="58">
        <v>23</v>
      </c>
      <c r="DO42" s="58">
        <v>77</v>
      </c>
      <c r="DP42" s="58">
        <v>24</v>
      </c>
      <c r="DQ42" s="58" t="s">
        <v>920</v>
      </c>
      <c r="DR42" s="58">
        <v>49</v>
      </c>
      <c r="DS42" s="58">
        <v>32</v>
      </c>
      <c r="DT42" s="58" t="s">
        <v>920</v>
      </c>
      <c r="DU42" s="58" t="s">
        <v>920</v>
      </c>
      <c r="DV42" s="58">
        <v>28</v>
      </c>
      <c r="DW42" s="58">
        <v>54</v>
      </c>
      <c r="DX42" s="58">
        <v>19</v>
      </c>
      <c r="DY42" s="58">
        <v>1</v>
      </c>
      <c r="DZ42" s="58">
        <v>105</v>
      </c>
      <c r="EA42" s="58">
        <v>18</v>
      </c>
      <c r="EB42" s="58">
        <v>65</v>
      </c>
      <c r="EC42" s="58">
        <v>31</v>
      </c>
      <c r="ED42" s="58" t="s">
        <v>920</v>
      </c>
      <c r="EE42" s="58" t="s">
        <v>920</v>
      </c>
      <c r="EF42" s="58">
        <v>89</v>
      </c>
      <c r="EG42" s="58">
        <v>32</v>
      </c>
      <c r="EH42" s="58">
        <v>36</v>
      </c>
      <c r="EI42" s="58">
        <v>57</v>
      </c>
      <c r="EJ42" s="58">
        <v>29</v>
      </c>
      <c r="EK42" s="58" t="s">
        <v>920</v>
      </c>
      <c r="EL42" s="58">
        <v>57</v>
      </c>
      <c r="EM42" s="58">
        <v>53</v>
      </c>
      <c r="EN42" s="58" t="s">
        <v>920</v>
      </c>
      <c r="EO42" s="58">
        <v>110</v>
      </c>
      <c r="EP42" s="58">
        <v>119</v>
      </c>
      <c r="EQ42" s="58">
        <v>8</v>
      </c>
    </row>
    <row r="43" spans="1:147" x14ac:dyDescent="0.45">
      <c r="A43" t="s">
        <v>68</v>
      </c>
      <c r="B43" s="59" t="s">
        <v>327</v>
      </c>
      <c r="C43" s="37" t="s">
        <v>10</v>
      </c>
      <c r="D43" s="37" t="s">
        <v>880</v>
      </c>
      <c r="E43" s="104">
        <v>44105.521000000001</v>
      </c>
      <c r="F43" s="104">
        <v>1882000</v>
      </c>
      <c r="G43" s="87">
        <v>58.45438838372997</v>
      </c>
      <c r="H43" s="1" t="s">
        <v>175</v>
      </c>
      <c r="I43" s="58">
        <v>37</v>
      </c>
      <c r="J43" s="87">
        <v>46.152038023792464</v>
      </c>
      <c r="K43" s="87">
        <v>47.681604759702019</v>
      </c>
      <c r="L43" s="87">
        <v>79.334008435508508</v>
      </c>
      <c r="M43" s="87">
        <v>60.649902315916869</v>
      </c>
      <c r="N43" s="58">
        <v>50</v>
      </c>
      <c r="O43" s="58">
        <v>38</v>
      </c>
      <c r="P43" s="58">
        <v>26</v>
      </c>
      <c r="Q43" s="58">
        <v>40</v>
      </c>
      <c r="R43" s="58">
        <v>73.981852857189736</v>
      </c>
      <c r="S43" s="58">
        <v>36.030526570689794</v>
      </c>
      <c r="T43" s="58">
        <v>28.443734643497855</v>
      </c>
      <c r="U43" s="58">
        <v>54.587030683089424</v>
      </c>
      <c r="V43" s="58">
        <v>44.456333982178741</v>
      </c>
      <c r="W43" s="58">
        <v>44.001449613837877</v>
      </c>
      <c r="X43" s="58">
        <v>76.000533694653669</v>
      </c>
      <c r="Y43" s="58">
        <v>82.601053943128179</v>
      </c>
      <c r="Z43" s="58">
        <v>79.400437668743692</v>
      </c>
      <c r="AA43" s="58">
        <v>33.974165475209929</v>
      </c>
      <c r="AB43" s="58">
        <v>68.919642737311406</v>
      </c>
      <c r="AC43" s="58">
        <v>79.055898735229249</v>
      </c>
      <c r="AD43" s="58">
        <v>48</v>
      </c>
      <c r="AE43" s="58">
        <v>45</v>
      </c>
      <c r="AF43" s="58">
        <v>90</v>
      </c>
      <c r="AG43" s="58">
        <v>50</v>
      </c>
      <c r="AH43" s="58">
        <v>32</v>
      </c>
      <c r="AI43" s="58">
        <v>59</v>
      </c>
      <c r="AJ43" s="58">
        <v>38</v>
      </c>
      <c r="AK43" s="58">
        <v>16</v>
      </c>
      <c r="AL43" s="58">
        <v>25</v>
      </c>
      <c r="AM43" s="58">
        <v>58</v>
      </c>
      <c r="AN43" s="58">
        <v>52</v>
      </c>
      <c r="AO43" s="58">
        <v>30</v>
      </c>
      <c r="AP43" s="58">
        <v>72.566534711656601</v>
      </c>
      <c r="AQ43" s="58">
        <v>90.235420388519344</v>
      </c>
      <c r="AR43" s="58">
        <v>22.831914245033289</v>
      </c>
      <c r="AS43" s="58">
        <v>94.73684210526315</v>
      </c>
      <c r="AT43" s="58">
        <v>63.520405692666017</v>
      </c>
      <c r="AU43" s="58">
        <v>100</v>
      </c>
      <c r="AV43" s="58">
        <v>39.527316796293228</v>
      </c>
      <c r="AW43" s="58">
        <v>24.494127544845192</v>
      </c>
      <c r="AX43" s="58">
        <v>78.653441834925275</v>
      </c>
      <c r="AY43" s="58">
        <v>1.4472201066954749</v>
      </c>
      <c r="AZ43" s="58">
        <v>58.74931412776008</v>
      </c>
      <c r="BA43" s="58">
        <v>44.75</v>
      </c>
      <c r="BB43" s="58">
        <v>2.440332516924268</v>
      </c>
      <c r="BC43" s="58">
        <v>7.8352919293070711</v>
      </c>
      <c r="BD43" s="58">
        <v>15.845465254413021</v>
      </c>
      <c r="BE43" s="58">
        <v>50.409462933400718</v>
      </c>
      <c r="BF43" s="58">
        <v>81.640767770088104</v>
      </c>
      <c r="BG43" s="58">
        <v>99.825538461538471</v>
      </c>
      <c r="BH43" s="58">
        <v>25.213918996006846</v>
      </c>
      <c r="BI43" s="58">
        <v>79.684807369651111</v>
      </c>
      <c r="BJ43" s="58">
        <v>20.040828802436607</v>
      </c>
      <c r="BK43" s="58">
        <v>33.643365774448498</v>
      </c>
      <c r="BL43" s="58" t="s">
        <v>920</v>
      </c>
      <c r="BM43" s="58">
        <v>77.03949663743218</v>
      </c>
      <c r="BN43" s="58">
        <v>47.480041340799339</v>
      </c>
      <c r="BO43" s="58">
        <v>38.482142633632975</v>
      </c>
      <c r="BP43" s="58">
        <v>13.004117843487037</v>
      </c>
      <c r="BQ43" s="58">
        <v>82.554604238335926</v>
      </c>
      <c r="BR43" s="58">
        <v>79.129141365128376</v>
      </c>
      <c r="BS43" s="58" t="s">
        <v>920</v>
      </c>
      <c r="BT43" s="58">
        <v>66.317855480496718</v>
      </c>
      <c r="BU43" s="58">
        <v>71.5628054203668</v>
      </c>
      <c r="BV43" s="58">
        <v>81.249999999882817</v>
      </c>
      <c r="BW43" s="58">
        <v>60.627968235665051</v>
      </c>
      <c r="BX43" s="58">
        <v>100</v>
      </c>
      <c r="BY43" s="58">
        <v>99.564496059726252</v>
      </c>
      <c r="BZ43" s="58">
        <v>76.809140922556068</v>
      </c>
      <c r="CA43" s="58">
        <v>90.804320202022026</v>
      </c>
      <c r="CB43" s="58">
        <v>70.587851881652995</v>
      </c>
      <c r="CC43" s="58" t="s">
        <v>920</v>
      </c>
      <c r="CD43" s="58">
        <v>4.2624608634591157</v>
      </c>
      <c r="CE43" s="58">
        <v>41.285765819555422</v>
      </c>
      <c r="CF43" s="58">
        <v>55.492571890277972</v>
      </c>
      <c r="CG43" s="58">
        <v>34.855863327547226</v>
      </c>
      <c r="CH43" s="58">
        <v>65.840035746201963</v>
      </c>
      <c r="CI43" s="58">
        <v>70.963541666666671</v>
      </c>
      <c r="CJ43" s="58">
        <v>73.979591836734699</v>
      </c>
      <c r="CK43" s="58">
        <v>65.931109761396428</v>
      </c>
      <c r="CL43" s="58">
        <v>88.888888888888886</v>
      </c>
      <c r="CM43" s="58">
        <v>60.60493326691234</v>
      </c>
      <c r="CN43" s="58">
        <v>100</v>
      </c>
      <c r="CO43" s="58">
        <v>82.66953713670614</v>
      </c>
      <c r="CP43" s="58">
        <v>57.009360185708161</v>
      </c>
      <c r="CQ43" s="58">
        <v>55</v>
      </c>
      <c r="CR43" s="58">
        <v>31</v>
      </c>
      <c r="CS43" s="58">
        <v>87</v>
      </c>
      <c r="CT43" s="58">
        <v>63</v>
      </c>
      <c r="CU43" s="58">
        <v>105</v>
      </c>
      <c r="CV43" s="58">
        <v>1</v>
      </c>
      <c r="CW43" s="58">
        <v>27</v>
      </c>
      <c r="CX43" s="58">
        <v>31</v>
      </c>
      <c r="CY43" s="58">
        <v>10</v>
      </c>
      <c r="CZ43" s="58">
        <v>90</v>
      </c>
      <c r="DA43" s="58">
        <v>69</v>
      </c>
      <c r="DB43" s="58">
        <v>53</v>
      </c>
      <c r="DC43" s="58">
        <v>46</v>
      </c>
      <c r="DD43" s="58">
        <v>87</v>
      </c>
      <c r="DE43" s="58">
        <v>62</v>
      </c>
      <c r="DF43" s="58">
        <v>65</v>
      </c>
      <c r="DG43" s="58">
        <v>19</v>
      </c>
      <c r="DH43" s="58">
        <v>6</v>
      </c>
      <c r="DI43" s="58">
        <v>28</v>
      </c>
      <c r="DJ43" s="58">
        <v>29</v>
      </c>
      <c r="DK43" s="58">
        <v>28</v>
      </c>
      <c r="DL43" s="58">
        <v>99</v>
      </c>
      <c r="DM43" s="58" t="s">
        <v>920</v>
      </c>
      <c r="DN43" s="58">
        <v>47</v>
      </c>
      <c r="DO43" s="58">
        <v>32</v>
      </c>
      <c r="DP43" s="58">
        <v>60</v>
      </c>
      <c r="DQ43" s="58">
        <v>45</v>
      </c>
      <c r="DR43" s="58">
        <v>34</v>
      </c>
      <c r="DS43" s="58">
        <v>78</v>
      </c>
      <c r="DT43" s="58" t="s">
        <v>920</v>
      </c>
      <c r="DU43" s="58">
        <v>25</v>
      </c>
      <c r="DV43" s="58">
        <v>23</v>
      </c>
      <c r="DW43" s="58">
        <v>41</v>
      </c>
      <c r="DX43" s="58">
        <v>39</v>
      </c>
      <c r="DY43" s="58">
        <v>1</v>
      </c>
      <c r="DZ43" s="58">
        <v>2</v>
      </c>
      <c r="EA43" s="58">
        <v>37</v>
      </c>
      <c r="EB43" s="58">
        <v>28</v>
      </c>
      <c r="EC43" s="58">
        <v>13</v>
      </c>
      <c r="ED43" s="58" t="s">
        <v>920</v>
      </c>
      <c r="EE43" s="58">
        <v>38</v>
      </c>
      <c r="EF43" s="58">
        <v>96</v>
      </c>
      <c r="EG43" s="58">
        <v>40</v>
      </c>
      <c r="EH43" s="58">
        <v>24</v>
      </c>
      <c r="EI43" s="58">
        <v>49</v>
      </c>
      <c r="EJ43" s="58">
        <v>62</v>
      </c>
      <c r="EK43" s="58">
        <v>53</v>
      </c>
      <c r="EL43" s="58">
        <v>67</v>
      </c>
      <c r="EM43" s="58">
        <v>58</v>
      </c>
      <c r="EN43" s="58">
        <v>22</v>
      </c>
      <c r="EO43" s="58">
        <v>1</v>
      </c>
      <c r="EP43" s="58">
        <v>39</v>
      </c>
      <c r="EQ43" s="58">
        <v>72</v>
      </c>
    </row>
    <row r="44" spans="1:147" x14ac:dyDescent="0.45">
      <c r="A44" t="s">
        <v>42</v>
      </c>
      <c r="B44" s="59" t="s">
        <v>323</v>
      </c>
      <c r="C44" s="37" t="s">
        <v>31</v>
      </c>
      <c r="D44" s="37" t="s">
        <v>881</v>
      </c>
      <c r="E44" s="104">
        <v>43664.705000000002</v>
      </c>
      <c r="F44" s="104">
        <v>35126000</v>
      </c>
      <c r="G44" s="87">
        <v>57.371295521984578</v>
      </c>
      <c r="H44" s="1" t="s">
        <v>177</v>
      </c>
      <c r="I44" s="58">
        <v>38</v>
      </c>
      <c r="J44" s="87">
        <v>50.61499290105774</v>
      </c>
      <c r="K44" s="87">
        <v>53.138835435257761</v>
      </c>
      <c r="L44" s="87">
        <v>69.790482489432165</v>
      </c>
      <c r="M44" s="87">
        <v>55.940871262190626</v>
      </c>
      <c r="N44" s="58">
        <v>38</v>
      </c>
      <c r="O44" s="58">
        <v>25</v>
      </c>
      <c r="P44" s="58">
        <v>44</v>
      </c>
      <c r="Q44" s="58">
        <v>50</v>
      </c>
      <c r="R44" s="58">
        <v>77.839586091838157</v>
      </c>
      <c r="S44" s="58">
        <v>27.261484189312345</v>
      </c>
      <c r="T44" s="58">
        <v>46.743908422022713</v>
      </c>
      <c r="U44" s="58">
        <v>69.250589105225401</v>
      </c>
      <c r="V44" s="58">
        <v>32.629421449163267</v>
      </c>
      <c r="W44" s="58">
        <v>57.536495751384621</v>
      </c>
      <c r="X44" s="58">
        <v>73.780247787998363</v>
      </c>
      <c r="Y44" s="58">
        <v>68.333442619391121</v>
      </c>
      <c r="Z44" s="58">
        <v>67.257757060906997</v>
      </c>
      <c r="AA44" s="58">
        <v>40.643760727991804</v>
      </c>
      <c r="AB44" s="58">
        <v>73.067530450870791</v>
      </c>
      <c r="AC44" s="58">
        <v>54.111322607709283</v>
      </c>
      <c r="AD44" s="58">
        <v>31</v>
      </c>
      <c r="AE44" s="58">
        <v>56</v>
      </c>
      <c r="AF44" s="58">
        <v>31</v>
      </c>
      <c r="AG44" s="58">
        <v>11</v>
      </c>
      <c r="AH44" s="58">
        <v>56</v>
      </c>
      <c r="AI44" s="58">
        <v>24</v>
      </c>
      <c r="AJ44" s="58">
        <v>44</v>
      </c>
      <c r="AK44" s="58">
        <v>46</v>
      </c>
      <c r="AL44" s="58">
        <v>56</v>
      </c>
      <c r="AM44" s="58">
        <v>35</v>
      </c>
      <c r="AN44" s="58">
        <v>40</v>
      </c>
      <c r="AO44" s="58">
        <v>95</v>
      </c>
      <c r="AP44" s="58">
        <v>63.253892018306203</v>
      </c>
      <c r="AQ44" s="58">
        <v>76.734624521477585</v>
      </c>
      <c r="AR44" s="58">
        <v>47.197780842461093</v>
      </c>
      <c r="AS44" s="58">
        <v>92.631578947368382</v>
      </c>
      <c r="AT44" s="58">
        <v>87.219640221415631</v>
      </c>
      <c r="AU44" s="58">
        <v>100</v>
      </c>
      <c r="AV44" s="58">
        <v>7.2768887967502778</v>
      </c>
      <c r="AW44" s="58">
        <v>5.2676095633658448</v>
      </c>
      <c r="AX44" s="58">
        <v>62.152348191581005</v>
      </c>
      <c r="AY44" s="58">
        <v>34.349090205552258</v>
      </c>
      <c r="AZ44" s="58">
        <v>71.75770793863326</v>
      </c>
      <c r="BA44" s="58">
        <v>78.750000000000014</v>
      </c>
      <c r="BB44" s="58">
        <v>8.4412829969543886</v>
      </c>
      <c r="BC44" s="58">
        <v>28.026642752503179</v>
      </c>
      <c r="BD44" s="58">
        <v>47.953364988768222</v>
      </c>
      <c r="BE44" s="58">
        <v>57.520753994384563</v>
      </c>
      <c r="BF44" s="58">
        <v>77.682083591595017</v>
      </c>
      <c r="BG44" s="58">
        <v>93.84615384615384</v>
      </c>
      <c r="BH44" s="58" t="s">
        <v>920</v>
      </c>
      <c r="BI44" s="58">
        <v>55.699794024435157</v>
      </c>
      <c r="BJ44" s="58">
        <v>2.1596126921967658</v>
      </c>
      <c r="BK44" s="58">
        <v>49.333459532067018</v>
      </c>
      <c r="BL44" s="58">
        <v>23.324819547954121</v>
      </c>
      <c r="BM44" s="58">
        <v>67.271808568231862</v>
      </c>
      <c r="BN44" s="58">
        <v>71.200479723135288</v>
      </c>
      <c r="BO44" s="58">
        <v>76.768276045069598</v>
      </c>
      <c r="BP44" s="58">
        <v>14.905418669101747</v>
      </c>
      <c r="BQ44" s="58">
        <v>71.83179258786673</v>
      </c>
      <c r="BR44" s="58">
        <v>98.584613673823014</v>
      </c>
      <c r="BS44" s="58">
        <v>62.608570931447339</v>
      </c>
      <c r="BT44" s="58">
        <v>62.096013958856354</v>
      </c>
      <c r="BU44" s="58">
        <v>58.76700875040445</v>
      </c>
      <c r="BV44" s="58">
        <v>73.749999999835936</v>
      </c>
      <c r="BW44" s="58">
        <v>59.689399701339916</v>
      </c>
      <c r="BX44" s="58">
        <v>100</v>
      </c>
      <c r="BY44" s="58">
        <v>49.460804645375354</v>
      </c>
      <c r="BZ44" s="58">
        <v>68.112568768514606</v>
      </c>
      <c r="CA44" s="58">
        <v>67.779164686708242</v>
      </c>
      <c r="CB44" s="58">
        <v>66.546178205289564</v>
      </c>
      <c r="CC44" s="58">
        <v>66.593116583115616</v>
      </c>
      <c r="CD44" s="58">
        <v>3.4837408061192088</v>
      </c>
      <c r="CE44" s="58">
        <v>68.637349961755064</v>
      </c>
      <c r="CF44" s="58">
        <v>79.248320114128106</v>
      </c>
      <c r="CG44" s="58">
        <v>11.205632029964821</v>
      </c>
      <c r="CH44" s="58">
        <v>60.210008936550494</v>
      </c>
      <c r="CI44" s="58">
        <v>97.265625</v>
      </c>
      <c r="CJ44" s="58">
        <v>56.887755102040813</v>
      </c>
      <c r="CK44" s="58">
        <v>66.566159730082902</v>
      </c>
      <c r="CL44" s="58">
        <v>91.111111111111114</v>
      </c>
      <c r="CM44" s="58">
        <v>27.698003588340125</v>
      </c>
      <c r="CN44" s="58">
        <v>42.727272727272727</v>
      </c>
      <c r="CO44" s="58">
        <v>69.214208826695369</v>
      </c>
      <c r="CP44" s="58">
        <v>62.50049946594671</v>
      </c>
      <c r="CQ44" s="58">
        <v>71</v>
      </c>
      <c r="CR44" s="58">
        <v>50</v>
      </c>
      <c r="CS44" s="58">
        <v>27</v>
      </c>
      <c r="CT44" s="58">
        <v>78</v>
      </c>
      <c r="CU44" s="58">
        <v>9</v>
      </c>
      <c r="CV44" s="58">
        <v>1</v>
      </c>
      <c r="CW44" s="58">
        <v>62</v>
      </c>
      <c r="CX44" s="58">
        <v>58</v>
      </c>
      <c r="CY44" s="58">
        <v>72</v>
      </c>
      <c r="CZ44" s="58">
        <v>23</v>
      </c>
      <c r="DA44" s="58">
        <v>39</v>
      </c>
      <c r="DB44" s="58">
        <v>12</v>
      </c>
      <c r="DC44" s="58">
        <v>30</v>
      </c>
      <c r="DD44" s="58">
        <v>29</v>
      </c>
      <c r="DE44" s="58">
        <v>10</v>
      </c>
      <c r="DF44" s="58">
        <v>49</v>
      </c>
      <c r="DG44" s="58">
        <v>38</v>
      </c>
      <c r="DH44" s="58">
        <v>39</v>
      </c>
      <c r="DI44" s="58" t="s">
        <v>920</v>
      </c>
      <c r="DJ44" s="58">
        <v>61</v>
      </c>
      <c r="DK44" s="58">
        <v>80</v>
      </c>
      <c r="DL44" s="58">
        <v>32</v>
      </c>
      <c r="DM44" s="58">
        <v>35</v>
      </c>
      <c r="DN44" s="58">
        <v>68</v>
      </c>
      <c r="DO44" s="58">
        <v>8</v>
      </c>
      <c r="DP44" s="58">
        <v>15</v>
      </c>
      <c r="DQ44" s="58">
        <v>42</v>
      </c>
      <c r="DR44" s="58">
        <v>47</v>
      </c>
      <c r="DS44" s="58">
        <v>25</v>
      </c>
      <c r="DT44" s="58">
        <v>14</v>
      </c>
      <c r="DU44" s="58">
        <v>30</v>
      </c>
      <c r="DV44" s="58">
        <v>41</v>
      </c>
      <c r="DW44" s="58">
        <v>64</v>
      </c>
      <c r="DX44" s="58">
        <v>40</v>
      </c>
      <c r="DY44" s="58">
        <v>1</v>
      </c>
      <c r="DZ44" s="58">
        <v>89</v>
      </c>
      <c r="EA44" s="58">
        <v>53</v>
      </c>
      <c r="EB44" s="58">
        <v>71</v>
      </c>
      <c r="EC44" s="58">
        <v>42</v>
      </c>
      <c r="ED44" s="58">
        <v>36</v>
      </c>
      <c r="EE44" s="58">
        <v>41</v>
      </c>
      <c r="EF44" s="58">
        <v>28</v>
      </c>
      <c r="EG44" s="58">
        <v>12</v>
      </c>
      <c r="EH44" s="58">
        <v>70</v>
      </c>
      <c r="EI44" s="58">
        <v>62</v>
      </c>
      <c r="EJ44" s="58">
        <v>2</v>
      </c>
      <c r="EK44" s="58">
        <v>86</v>
      </c>
      <c r="EL44" s="58">
        <v>62</v>
      </c>
      <c r="EM44" s="58">
        <v>53</v>
      </c>
      <c r="EN44" s="58">
        <v>56</v>
      </c>
      <c r="EO44" s="58">
        <v>116</v>
      </c>
      <c r="EP44" s="58">
        <v>82</v>
      </c>
      <c r="EQ44" s="58">
        <v>65</v>
      </c>
    </row>
    <row r="45" spans="1:147" x14ac:dyDescent="0.45">
      <c r="A45" t="s">
        <v>70</v>
      </c>
      <c r="B45" s="59" t="s">
        <v>325</v>
      </c>
      <c r="C45" s="37" t="s">
        <v>10</v>
      </c>
      <c r="D45" s="37" t="s">
        <v>880</v>
      </c>
      <c r="E45" s="104">
        <v>65304.131999999998</v>
      </c>
      <c r="F45" s="104">
        <v>1345000</v>
      </c>
      <c r="G45" s="87">
        <v>56.285335017168613</v>
      </c>
      <c r="H45" s="1" t="s">
        <v>178</v>
      </c>
      <c r="I45" s="58">
        <v>39</v>
      </c>
      <c r="J45" s="87">
        <v>49.090087594485048</v>
      </c>
      <c r="K45" s="87">
        <v>40.661601034423086</v>
      </c>
      <c r="L45" s="87">
        <v>73.06966672802541</v>
      </c>
      <c r="M45" s="87">
        <v>62.319984711740879</v>
      </c>
      <c r="N45" s="58">
        <v>42</v>
      </c>
      <c r="O45" s="58">
        <v>68</v>
      </c>
      <c r="P45" s="58">
        <v>37</v>
      </c>
      <c r="Q45" s="58">
        <v>37</v>
      </c>
      <c r="R45" s="58">
        <v>70.61180819540661</v>
      </c>
      <c r="S45" s="58">
        <v>45.424640486500991</v>
      </c>
      <c r="T45" s="58">
        <v>31.233814101547534</v>
      </c>
      <c r="U45" s="58">
        <v>53.339541333222783</v>
      </c>
      <c r="V45" s="58">
        <v>33.412926795758587</v>
      </c>
      <c r="W45" s="58">
        <v>35.232334974287888</v>
      </c>
      <c r="X45" s="58">
        <v>83.32818173973881</v>
      </c>
      <c r="Y45" s="58">
        <v>62.516198359157059</v>
      </c>
      <c r="Z45" s="58">
        <v>73.364620085180334</v>
      </c>
      <c r="AA45" s="58">
        <v>46.730669670524598</v>
      </c>
      <c r="AB45" s="58">
        <v>64.208814818115243</v>
      </c>
      <c r="AC45" s="58">
        <v>76.020469646582811</v>
      </c>
      <c r="AD45" s="58">
        <v>59</v>
      </c>
      <c r="AE45" s="58">
        <v>26</v>
      </c>
      <c r="AF45" s="58">
        <v>77</v>
      </c>
      <c r="AG45" s="58">
        <v>55</v>
      </c>
      <c r="AH45" s="58">
        <v>54</v>
      </c>
      <c r="AI45" s="58">
        <v>81</v>
      </c>
      <c r="AJ45" s="58">
        <v>21</v>
      </c>
      <c r="AK45" s="58">
        <v>65</v>
      </c>
      <c r="AL45" s="58">
        <v>44</v>
      </c>
      <c r="AM45" s="58">
        <v>25</v>
      </c>
      <c r="AN45" s="58">
        <v>69</v>
      </c>
      <c r="AO45" s="58">
        <v>38</v>
      </c>
      <c r="AP45" s="58">
        <v>66.487702839026596</v>
      </c>
      <c r="AQ45" s="58">
        <v>97.698177928321641</v>
      </c>
      <c r="AR45" s="58">
        <v>13.632457758817706</v>
      </c>
      <c r="AS45" s="58">
        <v>100</v>
      </c>
      <c r="AT45" s="58">
        <v>75.240702450867175</v>
      </c>
      <c r="AU45" s="58" t="s">
        <v>920</v>
      </c>
      <c r="AV45" s="58">
        <v>40.587673004830151</v>
      </c>
      <c r="AW45" s="58">
        <v>39.118289993149432</v>
      </c>
      <c r="AX45" s="58">
        <v>100</v>
      </c>
      <c r="AY45" s="58">
        <v>1.9925989480243698</v>
      </c>
      <c r="AZ45" s="58">
        <v>51.725292207456079</v>
      </c>
      <c r="BA45" s="58">
        <v>31.25</v>
      </c>
      <c r="BB45" s="58" t="s">
        <v>920</v>
      </c>
      <c r="BC45" s="58">
        <v>10.726150097186522</v>
      </c>
      <c r="BD45" s="58">
        <v>3.8350282428624149</v>
      </c>
      <c r="BE45" s="58">
        <v>57.097050413400211</v>
      </c>
      <c r="BF45" s="58">
        <v>69.095545162863687</v>
      </c>
      <c r="BG45" s="58">
        <v>99.077384615384616</v>
      </c>
      <c r="BH45" s="58">
        <v>37.592698231602967</v>
      </c>
      <c r="BI45" s="58">
        <v>71.386674790500564</v>
      </c>
      <c r="BJ45" s="58">
        <v>27.261693526151188</v>
      </c>
      <c r="BK45" s="58">
        <v>34.145039288190752</v>
      </c>
      <c r="BL45" s="58">
        <v>0.85829957819184011</v>
      </c>
      <c r="BM45" s="58">
        <v>78.543328400765148</v>
      </c>
      <c r="BN45" s="58" t="s">
        <v>920</v>
      </c>
      <c r="BO45" s="58">
        <v>16.51534153918557</v>
      </c>
      <c r="BP45" s="58">
        <v>10.63833498291295</v>
      </c>
      <c r="BQ45" s="58">
        <v>99.129771899459783</v>
      </c>
      <c r="BR45" s="58">
        <v>97.613146975649656</v>
      </c>
      <c r="BS45" s="58" t="s">
        <v>920</v>
      </c>
      <c r="BT45" s="58">
        <v>53.241626344106983</v>
      </c>
      <c r="BU45" s="58">
        <v>61.703997819662924</v>
      </c>
      <c r="BV45" s="58">
        <v>80.624999999941394</v>
      </c>
      <c r="BW45" s="58">
        <v>44.97202715743358</v>
      </c>
      <c r="BX45" s="58">
        <v>50</v>
      </c>
      <c r="BY45" s="58">
        <v>75.279966818747397</v>
      </c>
      <c r="BZ45" s="58">
        <v>68.112568768514606</v>
      </c>
      <c r="CA45" s="58">
        <v>81.663980643454593</v>
      </c>
      <c r="CB45" s="58">
        <v>70.317310843571818</v>
      </c>
      <c r="CC45" s="58" t="s">
        <v>920</v>
      </c>
      <c r="CD45" s="58">
        <v>2.9477046367042834</v>
      </c>
      <c r="CE45" s="58">
        <v>37.2443043748695</v>
      </c>
      <c r="CF45" s="58" t="s">
        <v>920</v>
      </c>
      <c r="CG45" s="58">
        <v>100</v>
      </c>
      <c r="CH45" s="58">
        <v>59.919571045576411</v>
      </c>
      <c r="CI45" s="58">
        <v>47.916666666666664</v>
      </c>
      <c r="CJ45" s="58">
        <v>79.591836734693885</v>
      </c>
      <c r="CK45" s="58">
        <v>89.988576749511466</v>
      </c>
      <c r="CL45" s="58">
        <v>100</v>
      </c>
      <c r="CM45" s="58">
        <v>27.312149867421599</v>
      </c>
      <c r="CN45" s="58">
        <v>95.454545454545453</v>
      </c>
      <c r="CO45" s="58">
        <v>87.40581270182993</v>
      </c>
      <c r="CP45" s="58">
        <v>87.818741125068499</v>
      </c>
      <c r="CQ45" s="58">
        <v>64</v>
      </c>
      <c r="CR45" s="58">
        <v>10</v>
      </c>
      <c r="CS45" s="58">
        <v>106</v>
      </c>
      <c r="CT45" s="58">
        <v>1</v>
      </c>
      <c r="CU45" s="58">
        <v>43</v>
      </c>
      <c r="CV45" s="58" t="s">
        <v>920</v>
      </c>
      <c r="CW45" s="58">
        <v>26</v>
      </c>
      <c r="CX45" s="58">
        <v>22</v>
      </c>
      <c r="CY45" s="58">
        <v>1</v>
      </c>
      <c r="CZ45" s="58">
        <v>83</v>
      </c>
      <c r="DA45" s="58">
        <v>77</v>
      </c>
      <c r="DB45" s="58">
        <v>89</v>
      </c>
      <c r="DC45" s="58" t="s">
        <v>920</v>
      </c>
      <c r="DD45" s="58">
        <v>80</v>
      </c>
      <c r="DE45" s="58">
        <v>103</v>
      </c>
      <c r="DF45" s="58">
        <v>52</v>
      </c>
      <c r="DG45" s="58">
        <v>64</v>
      </c>
      <c r="DH45" s="58">
        <v>14</v>
      </c>
      <c r="DI45" s="58">
        <v>16</v>
      </c>
      <c r="DJ45" s="58">
        <v>36</v>
      </c>
      <c r="DK45" s="58">
        <v>23</v>
      </c>
      <c r="DL45" s="58">
        <v>97</v>
      </c>
      <c r="DM45" s="58">
        <v>98</v>
      </c>
      <c r="DN45" s="58">
        <v>42</v>
      </c>
      <c r="DO45" s="58" t="s">
        <v>920</v>
      </c>
      <c r="DP45" s="58">
        <v>101</v>
      </c>
      <c r="DQ45" s="58">
        <v>53</v>
      </c>
      <c r="DR45" s="58">
        <v>2</v>
      </c>
      <c r="DS45" s="58">
        <v>31</v>
      </c>
      <c r="DT45" s="58" t="s">
        <v>920</v>
      </c>
      <c r="DU45" s="58">
        <v>42</v>
      </c>
      <c r="DV45" s="58">
        <v>35</v>
      </c>
      <c r="DW45" s="58">
        <v>45</v>
      </c>
      <c r="DX45" s="58">
        <v>60</v>
      </c>
      <c r="DY45" s="58">
        <v>107</v>
      </c>
      <c r="DZ45" s="58">
        <v>41</v>
      </c>
      <c r="EA45" s="58">
        <v>53</v>
      </c>
      <c r="EB45" s="58">
        <v>49</v>
      </c>
      <c r="EC45" s="58">
        <v>15</v>
      </c>
      <c r="ED45" s="58" t="s">
        <v>920</v>
      </c>
      <c r="EE45" s="58">
        <v>42</v>
      </c>
      <c r="EF45" s="58">
        <v>110</v>
      </c>
      <c r="EG45" s="58" t="s">
        <v>920</v>
      </c>
      <c r="EH45" s="58">
        <v>1</v>
      </c>
      <c r="EI45" s="58">
        <v>65</v>
      </c>
      <c r="EJ45" s="58">
        <v>109</v>
      </c>
      <c r="EK45" s="58">
        <v>33</v>
      </c>
      <c r="EL45" s="58">
        <v>11</v>
      </c>
      <c r="EM45" s="58">
        <v>1</v>
      </c>
      <c r="EN45" s="58">
        <v>58</v>
      </c>
      <c r="EO45" s="58">
        <v>20</v>
      </c>
      <c r="EP45" s="58">
        <v>20</v>
      </c>
      <c r="EQ45" s="58">
        <v>21</v>
      </c>
    </row>
    <row r="46" spans="1:147" x14ac:dyDescent="0.45">
      <c r="A46" t="s">
        <v>137</v>
      </c>
      <c r="B46" s="59" t="s">
        <v>351</v>
      </c>
      <c r="C46" s="37" t="s">
        <v>31</v>
      </c>
      <c r="D46" s="37" t="s">
        <v>882</v>
      </c>
      <c r="E46" s="104">
        <v>17688.249</v>
      </c>
      <c r="F46" s="104">
        <v>100352000</v>
      </c>
      <c r="G46" s="87">
        <v>55.995793557803687</v>
      </c>
      <c r="H46" s="1" t="s">
        <v>202</v>
      </c>
      <c r="I46" s="58">
        <v>40</v>
      </c>
      <c r="J46" s="87">
        <v>52.02424313899801</v>
      </c>
      <c r="K46" s="87">
        <v>47.249884007360095</v>
      </c>
      <c r="L46" s="87">
        <v>61.588521254540019</v>
      </c>
      <c r="M46" s="87">
        <v>63.120525830316637</v>
      </c>
      <c r="N46" s="58">
        <v>35</v>
      </c>
      <c r="O46" s="58">
        <v>41</v>
      </c>
      <c r="P46" s="58">
        <v>60</v>
      </c>
      <c r="Q46" s="58">
        <v>33</v>
      </c>
      <c r="R46" s="58">
        <v>82.437570810235542</v>
      </c>
      <c r="S46" s="58">
        <v>39.454366889368195</v>
      </c>
      <c r="T46" s="58">
        <v>34.180791717390299</v>
      </c>
      <c r="U46" s="58">
        <v>69.530723831026336</v>
      </c>
      <c r="V46" s="58">
        <v>25.656993588149337</v>
      </c>
      <c r="W46" s="58">
        <v>46.5619346029046</v>
      </c>
      <c r="X46" s="58">
        <v>80.597592202451878</v>
      </c>
      <c r="Y46" s="58">
        <v>51.115330713440848</v>
      </c>
      <c r="Z46" s="58">
        <v>53.052640847727325</v>
      </c>
      <c r="AA46" s="58">
        <v>43.092012428042352</v>
      </c>
      <c r="AB46" s="58">
        <v>79.697944133154962</v>
      </c>
      <c r="AC46" s="58">
        <v>66.571620929752598</v>
      </c>
      <c r="AD46" s="58">
        <v>12</v>
      </c>
      <c r="AE46" s="58">
        <v>37</v>
      </c>
      <c r="AF46" s="58">
        <v>66</v>
      </c>
      <c r="AG46" s="58">
        <v>9</v>
      </c>
      <c r="AH46" s="58">
        <v>83</v>
      </c>
      <c r="AI46" s="58">
        <v>46</v>
      </c>
      <c r="AJ46" s="58">
        <v>32</v>
      </c>
      <c r="AK46" s="58">
        <v>92</v>
      </c>
      <c r="AL46" s="58">
        <v>88</v>
      </c>
      <c r="AM46" s="58">
        <v>34</v>
      </c>
      <c r="AN46" s="58">
        <v>21</v>
      </c>
      <c r="AO46" s="58">
        <v>56</v>
      </c>
      <c r="AP46" s="58">
        <v>70.234185477666202</v>
      </c>
      <c r="AQ46" s="58">
        <v>74.474467004454269</v>
      </c>
      <c r="AR46" s="58">
        <v>72.148995062081127</v>
      </c>
      <c r="AS46" s="58">
        <v>99.210526315789451</v>
      </c>
      <c r="AT46" s="58">
        <v>84.900413671545451</v>
      </c>
      <c r="AU46" s="58">
        <v>93.656837329876794</v>
      </c>
      <c r="AV46" s="58">
        <v>16.009398526231365</v>
      </c>
      <c r="AW46" s="58">
        <v>2.7718909022475606</v>
      </c>
      <c r="AX46" s="58">
        <v>82.936216406046341</v>
      </c>
      <c r="AY46" s="58">
        <v>56.099961722947519</v>
      </c>
      <c r="AZ46" s="58">
        <v>76.556225419316704</v>
      </c>
      <c r="BA46" s="58">
        <v>38.5</v>
      </c>
      <c r="BB46" s="58">
        <v>2.6493514794312807</v>
      </c>
      <c r="BC46" s="58">
        <v>19.017589970813216</v>
      </c>
      <c r="BD46" s="58">
        <v>45.091925660490936</v>
      </c>
      <c r="BE46" s="58">
        <v>64.6485588833783</v>
      </c>
      <c r="BF46" s="58">
        <v>74.536256934082289</v>
      </c>
      <c r="BG46" s="58">
        <v>93.84615384615384</v>
      </c>
      <c r="BH46" s="58" t="s">
        <v>920</v>
      </c>
      <c r="BI46" s="58">
        <v>38.421490571957307</v>
      </c>
      <c r="BJ46" s="58">
        <v>2.2277659912895591</v>
      </c>
      <c r="BK46" s="58">
        <v>47.344040543449985</v>
      </c>
      <c r="BL46" s="58">
        <v>14.634677245900503</v>
      </c>
      <c r="BM46" s="58">
        <v>64.883723728059095</v>
      </c>
      <c r="BN46" s="58">
        <v>36.463174590943531</v>
      </c>
      <c r="BO46" s="58">
        <v>78.285282285823001</v>
      </c>
      <c r="BP46" s="58">
        <v>6.6155578067927685</v>
      </c>
      <c r="BQ46" s="58">
        <v>69.692116702272784</v>
      </c>
      <c r="BR46" s="58">
        <v>99.688236235631209</v>
      </c>
      <c r="BS46" s="58">
        <v>100</v>
      </c>
      <c r="BT46" s="58">
        <v>53.010015871903548</v>
      </c>
      <c r="BU46" s="58">
        <v>32.653769133063541</v>
      </c>
      <c r="BV46" s="58">
        <v>47.187499999607432</v>
      </c>
      <c r="BW46" s="58">
        <v>52.715890448635307</v>
      </c>
      <c r="BX46" s="58">
        <v>100</v>
      </c>
      <c r="BY46" s="58">
        <v>23.019493985897967</v>
      </c>
      <c r="BZ46" s="58">
        <v>57.966567922132882</v>
      </c>
      <c r="CA46" s="58">
        <v>27.731425508085568</v>
      </c>
      <c r="CB46" s="58">
        <v>59.550474243613664</v>
      </c>
      <c r="CC46" s="58">
        <v>66.962095717077176</v>
      </c>
      <c r="CD46" s="58" t="s">
        <v>920</v>
      </c>
      <c r="CE46" s="58">
        <v>70.286758128125271</v>
      </c>
      <c r="CF46" s="58">
        <v>54.804205316929519</v>
      </c>
      <c r="CG46" s="58">
        <v>4.1850738390722482</v>
      </c>
      <c r="CH46" s="58">
        <v>69.079535299374456</v>
      </c>
      <c r="CI46" s="58">
        <v>100</v>
      </c>
      <c r="CJ46" s="58">
        <v>68.622448979591837</v>
      </c>
      <c r="CK46" s="58">
        <v>71.406145220589039</v>
      </c>
      <c r="CL46" s="58">
        <v>73.333333333333329</v>
      </c>
      <c r="CM46" s="58">
        <v>53.995728339478177</v>
      </c>
      <c r="CN46" s="58">
        <v>82.727272727272734</v>
      </c>
      <c r="CO46" s="58">
        <v>73.842841765339074</v>
      </c>
      <c r="CP46" s="58">
        <v>38.107948440507521</v>
      </c>
      <c r="CQ46" s="58">
        <v>57</v>
      </c>
      <c r="CR46" s="58">
        <v>53</v>
      </c>
      <c r="CS46" s="58">
        <v>4</v>
      </c>
      <c r="CT46" s="58">
        <v>40</v>
      </c>
      <c r="CU46" s="58">
        <v>11</v>
      </c>
      <c r="CV46" s="58">
        <v>46</v>
      </c>
      <c r="CW46" s="58">
        <v>46</v>
      </c>
      <c r="CX46" s="58">
        <v>72</v>
      </c>
      <c r="CY46" s="58">
        <v>6</v>
      </c>
      <c r="CZ46" s="58">
        <v>13</v>
      </c>
      <c r="DA46" s="58">
        <v>33</v>
      </c>
      <c r="DB46" s="58">
        <v>66</v>
      </c>
      <c r="DC46" s="58">
        <v>44</v>
      </c>
      <c r="DD46" s="58">
        <v>56</v>
      </c>
      <c r="DE46" s="58">
        <v>17</v>
      </c>
      <c r="DF46" s="58">
        <v>38</v>
      </c>
      <c r="DG46" s="58">
        <v>52</v>
      </c>
      <c r="DH46" s="58">
        <v>39</v>
      </c>
      <c r="DI46" s="58" t="s">
        <v>920</v>
      </c>
      <c r="DJ46" s="58">
        <v>83</v>
      </c>
      <c r="DK46" s="58">
        <v>78</v>
      </c>
      <c r="DL46" s="58">
        <v>42</v>
      </c>
      <c r="DM46" s="58">
        <v>47</v>
      </c>
      <c r="DN46" s="58">
        <v>74</v>
      </c>
      <c r="DO46" s="58">
        <v>49</v>
      </c>
      <c r="DP46" s="58">
        <v>13</v>
      </c>
      <c r="DQ46" s="58">
        <v>64</v>
      </c>
      <c r="DR46" s="58">
        <v>53</v>
      </c>
      <c r="DS46" s="58">
        <v>16</v>
      </c>
      <c r="DT46" s="58">
        <v>1</v>
      </c>
      <c r="DU46" s="58">
        <v>43</v>
      </c>
      <c r="DV46" s="58">
        <v>92</v>
      </c>
      <c r="DW46" s="58">
        <v>101</v>
      </c>
      <c r="DX46" s="58">
        <v>49</v>
      </c>
      <c r="DY46" s="58">
        <v>1</v>
      </c>
      <c r="DZ46" s="58">
        <v>117</v>
      </c>
      <c r="EA46" s="58">
        <v>71</v>
      </c>
      <c r="EB46" s="58">
        <v>115</v>
      </c>
      <c r="EC46" s="58">
        <v>79</v>
      </c>
      <c r="ED46" s="58">
        <v>35</v>
      </c>
      <c r="EE46" s="58" t="s">
        <v>920</v>
      </c>
      <c r="EF46" s="58">
        <v>24</v>
      </c>
      <c r="EG46" s="58">
        <v>42</v>
      </c>
      <c r="EH46" s="58">
        <v>98</v>
      </c>
      <c r="EI46" s="58">
        <v>44</v>
      </c>
      <c r="EJ46" s="58">
        <v>1</v>
      </c>
      <c r="EK46" s="58">
        <v>66</v>
      </c>
      <c r="EL46" s="58">
        <v>45</v>
      </c>
      <c r="EM46" s="58">
        <v>81</v>
      </c>
      <c r="EN46" s="58">
        <v>35</v>
      </c>
      <c r="EO46" s="58">
        <v>51</v>
      </c>
      <c r="EP46" s="58">
        <v>71</v>
      </c>
      <c r="EQ46" s="58">
        <v>100</v>
      </c>
    </row>
    <row r="47" spans="1:147" x14ac:dyDescent="0.45">
      <c r="A47" t="s">
        <v>69</v>
      </c>
      <c r="B47" s="59" t="s">
        <v>328</v>
      </c>
      <c r="C47" s="37" t="s">
        <v>10</v>
      </c>
      <c r="D47" s="37" t="s">
        <v>880</v>
      </c>
      <c r="E47" s="104">
        <v>48156.868000000002</v>
      </c>
      <c r="F47" s="104">
        <v>9686000</v>
      </c>
      <c r="G47" s="87">
        <v>55.257144996962701</v>
      </c>
      <c r="H47" s="1" t="s">
        <v>176</v>
      </c>
      <c r="I47" s="58">
        <v>41</v>
      </c>
      <c r="J47" s="87">
        <v>48.31008972111723</v>
      </c>
      <c r="K47" s="87">
        <v>42.141877252663043</v>
      </c>
      <c r="L47" s="87">
        <v>72.28845589313211</v>
      </c>
      <c r="M47" s="87">
        <v>58.288157120938422</v>
      </c>
      <c r="N47" s="58">
        <v>45</v>
      </c>
      <c r="O47" s="58">
        <v>60</v>
      </c>
      <c r="P47" s="58">
        <v>40</v>
      </c>
      <c r="Q47" s="58">
        <v>46</v>
      </c>
      <c r="R47" s="58">
        <v>77.513894478137217</v>
      </c>
      <c r="S47" s="58">
        <v>32.614564263162208</v>
      </c>
      <c r="T47" s="58">
        <v>34.801810422052263</v>
      </c>
      <c r="U47" s="58">
        <v>54.74246086214238</v>
      </c>
      <c r="V47" s="58">
        <v>33.991779226894465</v>
      </c>
      <c r="W47" s="58">
        <v>37.691391668952271</v>
      </c>
      <c r="X47" s="58">
        <v>79.597264502616582</v>
      </c>
      <c r="Y47" s="58">
        <v>70.926580913698743</v>
      </c>
      <c r="Z47" s="58">
        <v>66.341522263081004</v>
      </c>
      <c r="AA47" s="58">
        <v>33.34092657940834</v>
      </c>
      <c r="AB47" s="58">
        <v>64.121350182188735</v>
      </c>
      <c r="AC47" s="58">
        <v>77.402194601218198</v>
      </c>
      <c r="AD47" s="58">
        <v>33</v>
      </c>
      <c r="AE47" s="58">
        <v>47</v>
      </c>
      <c r="AF47" s="58">
        <v>62</v>
      </c>
      <c r="AG47" s="58">
        <v>49</v>
      </c>
      <c r="AH47" s="58">
        <v>52</v>
      </c>
      <c r="AI47" s="58">
        <v>71</v>
      </c>
      <c r="AJ47" s="58">
        <v>35</v>
      </c>
      <c r="AK47" s="58">
        <v>39</v>
      </c>
      <c r="AL47" s="58">
        <v>58</v>
      </c>
      <c r="AM47" s="58">
        <v>60</v>
      </c>
      <c r="AN47" s="58">
        <v>70</v>
      </c>
      <c r="AO47" s="58">
        <v>35</v>
      </c>
      <c r="AP47" s="58">
        <v>86.0692017323165</v>
      </c>
      <c r="AQ47" s="58">
        <v>80.424399165833449</v>
      </c>
      <c r="AR47" s="58">
        <v>35.126667880482209</v>
      </c>
      <c r="AS47" s="58">
        <v>95.789473684210549</v>
      </c>
      <c r="AT47" s="58">
        <v>67.673624405980618</v>
      </c>
      <c r="AU47" s="58">
        <v>100</v>
      </c>
      <c r="AV47" s="58">
        <v>28.569265638313308</v>
      </c>
      <c r="AW47" s="58">
        <v>27.950428305093215</v>
      </c>
      <c r="AX47" s="58">
        <v>66.968108787423347</v>
      </c>
      <c r="AY47" s="58">
        <v>6.9704543218189734</v>
      </c>
      <c r="AZ47" s="58">
        <v>71.83604403846175</v>
      </c>
      <c r="BA47" s="58">
        <v>28.249999999999996</v>
      </c>
      <c r="BB47" s="58">
        <v>20.948734910218494</v>
      </c>
      <c r="BC47" s="58">
        <v>18.172462739528811</v>
      </c>
      <c r="BD47" s="58">
        <v>16.643656360382398</v>
      </c>
      <c r="BE47" s="58">
        <v>40.762441252173062</v>
      </c>
      <c r="BF47" s="58">
        <v>78.277758674987368</v>
      </c>
      <c r="BG47" s="58">
        <v>98.6103076923077</v>
      </c>
      <c r="BH47" s="58">
        <v>39.418140330861377</v>
      </c>
      <c r="BI47" s="58">
        <v>63.543689099663979</v>
      </c>
      <c r="BJ47" s="58">
        <v>12.528416439796963</v>
      </c>
      <c r="BK47" s="58">
        <v>43.524737477276169</v>
      </c>
      <c r="BL47" s="58">
        <v>16.370273890840725</v>
      </c>
      <c r="BM47" s="58">
        <v>65.636842675136236</v>
      </c>
      <c r="BN47" s="58" t="s">
        <v>920</v>
      </c>
      <c r="BO47" s="58">
        <v>25.658933940135825</v>
      </c>
      <c r="BP47" s="58">
        <v>21.778398391584766</v>
      </c>
      <c r="BQ47" s="58">
        <v>87.926444910233002</v>
      </c>
      <c r="BR47" s="58">
        <v>86.361562294687459</v>
      </c>
      <c r="BS47" s="58" t="s">
        <v>920</v>
      </c>
      <c r="BT47" s="58">
        <v>64.503786302929285</v>
      </c>
      <c r="BU47" s="58">
        <v>50.193952094275694</v>
      </c>
      <c r="BV47" s="58">
        <v>86.874999999917975</v>
      </c>
      <c r="BW47" s="58">
        <v>55.618701541077328</v>
      </c>
      <c r="BX47" s="58">
        <v>100</v>
      </c>
      <c r="BY47" s="58">
        <v>61.945250933222731</v>
      </c>
      <c r="BZ47" s="58">
        <v>52.168853152771902</v>
      </c>
      <c r="CA47" s="58">
        <v>78.791508824619612</v>
      </c>
      <c r="CB47" s="58">
        <v>68.064204811851496</v>
      </c>
      <c r="CC47" s="58" t="s">
        <v>920</v>
      </c>
      <c r="CD47" s="58">
        <v>17.698744327610239</v>
      </c>
      <c r="CE47" s="58">
        <v>57.934913734132344</v>
      </c>
      <c r="CF47" s="58">
        <v>42.124499348245301</v>
      </c>
      <c r="CG47" s="58">
        <v>15.605548907645481</v>
      </c>
      <c r="CH47" s="58">
        <v>59.316353887399465</v>
      </c>
      <c r="CI47" s="58">
        <v>56.901041666666671</v>
      </c>
      <c r="CJ47" s="58">
        <v>82.65306122448979</v>
      </c>
      <c r="CK47" s="58">
        <v>69.640248760510332</v>
      </c>
      <c r="CL47" s="58">
        <v>97.777777777777771</v>
      </c>
      <c r="CM47" s="58">
        <v>57.854998072243845</v>
      </c>
      <c r="CN47" s="58">
        <v>90.909090909090907</v>
      </c>
      <c r="CO47" s="58">
        <v>79.97847147470398</v>
      </c>
      <c r="CP47" s="58">
        <v>63.954658119890311</v>
      </c>
      <c r="CQ47" s="58">
        <v>24</v>
      </c>
      <c r="CR47" s="58">
        <v>47</v>
      </c>
      <c r="CS47" s="58">
        <v>53</v>
      </c>
      <c r="CT47" s="58">
        <v>60</v>
      </c>
      <c r="CU47" s="58">
        <v>87</v>
      </c>
      <c r="CV47" s="58">
        <v>1</v>
      </c>
      <c r="CW47" s="58">
        <v>35</v>
      </c>
      <c r="CX47" s="58">
        <v>27</v>
      </c>
      <c r="CY47" s="58">
        <v>56</v>
      </c>
      <c r="CZ47" s="58">
        <v>55</v>
      </c>
      <c r="DA47" s="58">
        <v>38</v>
      </c>
      <c r="DB47" s="58">
        <v>98</v>
      </c>
      <c r="DC47" s="58">
        <v>22</v>
      </c>
      <c r="DD47" s="58">
        <v>61</v>
      </c>
      <c r="DE47" s="58">
        <v>59</v>
      </c>
      <c r="DF47" s="58">
        <v>81</v>
      </c>
      <c r="DG47" s="58">
        <v>34</v>
      </c>
      <c r="DH47" s="58">
        <v>15</v>
      </c>
      <c r="DI47" s="58">
        <v>14</v>
      </c>
      <c r="DJ47" s="58">
        <v>46</v>
      </c>
      <c r="DK47" s="58">
        <v>40</v>
      </c>
      <c r="DL47" s="58">
        <v>58</v>
      </c>
      <c r="DM47" s="58">
        <v>45</v>
      </c>
      <c r="DN47" s="58">
        <v>72</v>
      </c>
      <c r="DO47" s="58" t="s">
        <v>920</v>
      </c>
      <c r="DP47" s="58">
        <v>88</v>
      </c>
      <c r="DQ47" s="58">
        <v>33</v>
      </c>
      <c r="DR47" s="58">
        <v>20</v>
      </c>
      <c r="DS47" s="58">
        <v>67</v>
      </c>
      <c r="DT47" s="58" t="s">
        <v>920</v>
      </c>
      <c r="DU47" s="58">
        <v>27</v>
      </c>
      <c r="DV47" s="58">
        <v>55</v>
      </c>
      <c r="DW47" s="58">
        <v>27</v>
      </c>
      <c r="DX47" s="58">
        <v>46</v>
      </c>
      <c r="DY47" s="58">
        <v>1</v>
      </c>
      <c r="DZ47" s="58">
        <v>66</v>
      </c>
      <c r="EA47" s="58">
        <v>77</v>
      </c>
      <c r="EB47" s="58">
        <v>53</v>
      </c>
      <c r="EC47" s="58">
        <v>30</v>
      </c>
      <c r="ED47" s="58" t="s">
        <v>920</v>
      </c>
      <c r="EE47" s="58">
        <v>25</v>
      </c>
      <c r="EF47" s="58">
        <v>52</v>
      </c>
      <c r="EG47" s="58">
        <v>60</v>
      </c>
      <c r="EH47" s="58">
        <v>58</v>
      </c>
      <c r="EI47" s="58">
        <v>67</v>
      </c>
      <c r="EJ47" s="58">
        <v>93</v>
      </c>
      <c r="EK47" s="58">
        <v>26</v>
      </c>
      <c r="EL47" s="58">
        <v>53</v>
      </c>
      <c r="EM47" s="58">
        <v>42</v>
      </c>
      <c r="EN47" s="58">
        <v>29</v>
      </c>
      <c r="EO47" s="58">
        <v>28</v>
      </c>
      <c r="EP47" s="58">
        <v>47</v>
      </c>
      <c r="EQ47" s="58">
        <v>62</v>
      </c>
    </row>
    <row r="48" spans="1:147" x14ac:dyDescent="0.45">
      <c r="A48" t="s">
        <v>81</v>
      </c>
      <c r="B48" s="59" t="s">
        <v>343</v>
      </c>
      <c r="C48" s="37" t="s">
        <v>37</v>
      </c>
      <c r="D48" s="37" t="s">
        <v>880</v>
      </c>
      <c r="E48" s="104">
        <v>31485.040000000001</v>
      </c>
      <c r="F48" s="104">
        <v>5106000</v>
      </c>
      <c r="G48" s="87">
        <v>54.759719709514499</v>
      </c>
      <c r="H48" s="1" t="s">
        <v>195</v>
      </c>
      <c r="I48" s="58">
        <v>42</v>
      </c>
      <c r="J48" s="87">
        <v>42.824686773311555</v>
      </c>
      <c r="K48" s="87">
        <v>43.615130960872307</v>
      </c>
      <c r="L48" s="87">
        <v>67.465910177881824</v>
      </c>
      <c r="M48" s="87">
        <v>65.133150925992297</v>
      </c>
      <c r="N48" s="58">
        <v>67</v>
      </c>
      <c r="O48" s="58">
        <v>54</v>
      </c>
      <c r="P48" s="58">
        <v>49</v>
      </c>
      <c r="Q48" s="58">
        <v>28</v>
      </c>
      <c r="R48" s="58">
        <v>63.60489746740307</v>
      </c>
      <c r="S48" s="58">
        <v>19.550917546704532</v>
      </c>
      <c r="T48" s="58">
        <v>45.318245305827077</v>
      </c>
      <c r="U48" s="58">
        <v>54.229154842820648</v>
      </c>
      <c r="V48" s="58">
        <v>43.809105304444536</v>
      </c>
      <c r="W48" s="58">
        <v>32.807132735351729</v>
      </c>
      <c r="X48" s="58">
        <v>53.883218539831013</v>
      </c>
      <c r="Y48" s="58">
        <v>74.483649724727869</v>
      </c>
      <c r="Z48" s="58">
        <v>74.030862269086583</v>
      </c>
      <c r="AA48" s="58">
        <v>40.539939620855293</v>
      </c>
      <c r="AB48" s="58">
        <v>80.974163580464875</v>
      </c>
      <c r="AC48" s="58">
        <v>73.885349576656694</v>
      </c>
      <c r="AD48" s="58">
        <v>78</v>
      </c>
      <c r="AE48" s="58">
        <v>84</v>
      </c>
      <c r="AF48" s="58">
        <v>37</v>
      </c>
      <c r="AG48" s="58">
        <v>51</v>
      </c>
      <c r="AH48" s="58">
        <v>34</v>
      </c>
      <c r="AI48" s="58">
        <v>87</v>
      </c>
      <c r="AJ48" s="58">
        <v>66</v>
      </c>
      <c r="AK48" s="58">
        <v>32</v>
      </c>
      <c r="AL48" s="58">
        <v>42</v>
      </c>
      <c r="AM48" s="58">
        <v>36</v>
      </c>
      <c r="AN48" s="58">
        <v>18</v>
      </c>
      <c r="AO48" s="58">
        <v>43</v>
      </c>
      <c r="AP48" s="58">
        <v>58.2883205283389</v>
      </c>
      <c r="AQ48" s="58">
        <v>59.216959461804663</v>
      </c>
      <c r="AR48" s="58">
        <v>29.757837203469872</v>
      </c>
      <c r="AS48" s="58">
        <v>73.68421052631578</v>
      </c>
      <c r="AT48" s="58">
        <v>74.38763874952835</v>
      </c>
      <c r="AU48" s="58">
        <v>86.294418334960895</v>
      </c>
      <c r="AV48" s="58">
        <v>13.000995854036407</v>
      </c>
      <c r="AW48" s="58">
        <v>6.3728149862391348</v>
      </c>
      <c r="AX48" s="58">
        <v>58.266719132462519</v>
      </c>
      <c r="AY48" s="58">
        <v>0.5631402140800631</v>
      </c>
      <c r="AZ48" s="58">
        <v>68.058196475220598</v>
      </c>
      <c r="BA48" s="58">
        <v>48.250000000000007</v>
      </c>
      <c r="BB48" s="58" t="s">
        <v>920</v>
      </c>
      <c r="BC48" s="58">
        <v>19.646539442260629</v>
      </c>
      <c r="BD48" s="58">
        <v>6.6581036946873935</v>
      </c>
      <c r="BE48" s="58">
        <v>66.895405640477392</v>
      </c>
      <c r="BF48" s="58">
        <v>77.531013310199171</v>
      </c>
      <c r="BG48" s="58">
        <v>96.957999999999984</v>
      </c>
      <c r="BH48" s="58">
        <v>23.103251568739307</v>
      </c>
      <c r="BI48" s="58">
        <v>88.43763214491949</v>
      </c>
      <c r="BJ48" s="58" t="s">
        <v>920</v>
      </c>
      <c r="BK48" s="58">
        <v>38.63888705975522</v>
      </c>
      <c r="BL48" s="58">
        <v>4.3507967086589119</v>
      </c>
      <c r="BM48" s="58">
        <v>66.517486555744043</v>
      </c>
      <c r="BN48" s="58">
        <v>30.930688069602258</v>
      </c>
      <c r="BO48" s="58">
        <v>28.537741162687659</v>
      </c>
      <c r="BP48" s="58">
        <v>5.242615153372939</v>
      </c>
      <c r="BQ48" s="58">
        <v>61.182934384899944</v>
      </c>
      <c r="BR48" s="58">
        <v>70.052947488024458</v>
      </c>
      <c r="BS48" s="58">
        <v>61.226146973652092</v>
      </c>
      <c r="BT48" s="58">
        <v>23.07084531274754</v>
      </c>
      <c r="BU48" s="58">
        <v>55.830452240361396</v>
      </c>
      <c r="BV48" s="58">
        <v>83.124999999332019</v>
      </c>
      <c r="BW48" s="58">
        <v>56.855579461507119</v>
      </c>
      <c r="BX48" s="58">
        <v>100</v>
      </c>
      <c r="BY48" s="58">
        <v>76.607216922438823</v>
      </c>
      <c r="BZ48" s="58">
        <v>71.011426153195089</v>
      </c>
      <c r="CA48" s="58">
        <v>62.591645460355238</v>
      </c>
      <c r="CB48" s="58">
        <v>69.927493966542571</v>
      </c>
      <c r="CC48" s="58">
        <v>92.592883496253393</v>
      </c>
      <c r="CD48" s="58">
        <v>0.39200393434590541</v>
      </c>
      <c r="CE48" s="58">
        <v>47.866762992469702</v>
      </c>
      <c r="CF48" s="58">
        <v>64.004204054450724</v>
      </c>
      <c r="CG48" s="58">
        <v>49.896787502154822</v>
      </c>
      <c r="CH48" s="58">
        <v>89.678284182305632</v>
      </c>
      <c r="CI48" s="58">
        <v>91.666666666666657</v>
      </c>
      <c r="CJ48" s="58">
        <v>43.877551020408177</v>
      </c>
      <c r="CK48" s="58">
        <v>79.27752876443644</v>
      </c>
      <c r="CL48" s="58">
        <v>100</v>
      </c>
      <c r="CM48" s="58">
        <v>27.382633544272238</v>
      </c>
      <c r="CN48" s="58">
        <v>88.181818181818187</v>
      </c>
      <c r="CO48" s="58">
        <v>91.388589881593106</v>
      </c>
      <c r="CP48" s="58">
        <v>77.176713397886431</v>
      </c>
      <c r="CQ48" s="58">
        <v>82</v>
      </c>
      <c r="CR48" s="58">
        <v>73</v>
      </c>
      <c r="CS48" s="58">
        <v>70</v>
      </c>
      <c r="CT48" s="58">
        <v>100</v>
      </c>
      <c r="CU48" s="58">
        <v>48</v>
      </c>
      <c r="CV48" s="58">
        <v>49</v>
      </c>
      <c r="CW48" s="58">
        <v>51</v>
      </c>
      <c r="CX48" s="58">
        <v>53</v>
      </c>
      <c r="CY48" s="58">
        <v>85</v>
      </c>
      <c r="CZ48" s="58">
        <v>104</v>
      </c>
      <c r="DA48" s="58">
        <v>43</v>
      </c>
      <c r="DB48" s="58">
        <v>48</v>
      </c>
      <c r="DC48" s="58" t="s">
        <v>920</v>
      </c>
      <c r="DD48" s="58">
        <v>54</v>
      </c>
      <c r="DE48" s="58">
        <v>87</v>
      </c>
      <c r="DF48" s="58">
        <v>36</v>
      </c>
      <c r="DG48" s="58">
        <v>39</v>
      </c>
      <c r="DH48" s="58">
        <v>27</v>
      </c>
      <c r="DI48" s="58">
        <v>31</v>
      </c>
      <c r="DJ48" s="58">
        <v>15</v>
      </c>
      <c r="DK48" s="58" t="s">
        <v>920</v>
      </c>
      <c r="DL48" s="58">
        <v>72</v>
      </c>
      <c r="DM48" s="58">
        <v>64</v>
      </c>
      <c r="DN48" s="58">
        <v>71</v>
      </c>
      <c r="DO48" s="58">
        <v>60</v>
      </c>
      <c r="DP48" s="58">
        <v>79</v>
      </c>
      <c r="DQ48" s="58">
        <v>69</v>
      </c>
      <c r="DR48" s="58">
        <v>66</v>
      </c>
      <c r="DS48" s="58">
        <v>87</v>
      </c>
      <c r="DT48" s="58">
        <v>15</v>
      </c>
      <c r="DU48" s="58">
        <v>67</v>
      </c>
      <c r="DV48" s="58">
        <v>46</v>
      </c>
      <c r="DW48" s="58">
        <v>38</v>
      </c>
      <c r="DX48" s="58">
        <v>43</v>
      </c>
      <c r="DY48" s="58">
        <v>1</v>
      </c>
      <c r="DZ48" s="58">
        <v>36</v>
      </c>
      <c r="EA48" s="58">
        <v>49</v>
      </c>
      <c r="EB48" s="58">
        <v>78</v>
      </c>
      <c r="EC48" s="58">
        <v>16</v>
      </c>
      <c r="ED48" s="58">
        <v>3</v>
      </c>
      <c r="EE48" s="58">
        <v>61</v>
      </c>
      <c r="EF48" s="58">
        <v>81</v>
      </c>
      <c r="EG48" s="58">
        <v>28</v>
      </c>
      <c r="EH48" s="58">
        <v>13</v>
      </c>
      <c r="EI48" s="58">
        <v>6</v>
      </c>
      <c r="EJ48" s="58">
        <v>14</v>
      </c>
      <c r="EK48" s="58">
        <v>102</v>
      </c>
      <c r="EL48" s="58">
        <v>32</v>
      </c>
      <c r="EM48" s="58">
        <v>1</v>
      </c>
      <c r="EN48" s="58">
        <v>57</v>
      </c>
      <c r="EO48" s="58">
        <v>34</v>
      </c>
      <c r="EP48" s="58">
        <v>10</v>
      </c>
      <c r="EQ48" s="58">
        <v>38</v>
      </c>
    </row>
    <row r="49" spans="1:147" x14ac:dyDescent="0.45">
      <c r="A49" t="s">
        <v>67</v>
      </c>
      <c r="B49" s="59" t="s">
        <v>324</v>
      </c>
      <c r="C49" s="37" t="s">
        <v>10</v>
      </c>
      <c r="D49" s="37" t="s">
        <v>880</v>
      </c>
      <c r="E49" s="104">
        <v>47596.544000000002</v>
      </c>
      <c r="F49" s="104">
        <v>5518000</v>
      </c>
      <c r="G49" s="87">
        <v>54.674568211370122</v>
      </c>
      <c r="H49" s="1" t="s">
        <v>174</v>
      </c>
      <c r="I49" s="58">
        <v>43</v>
      </c>
      <c r="J49" s="87">
        <v>46.98401205376296</v>
      </c>
      <c r="K49" s="87">
        <v>39.97738332550184</v>
      </c>
      <c r="L49" s="87">
        <v>76.119061465187187</v>
      </c>
      <c r="M49" s="87">
        <v>55.617816001028501</v>
      </c>
      <c r="N49" s="58">
        <v>49</v>
      </c>
      <c r="O49" s="58">
        <v>69</v>
      </c>
      <c r="P49" s="58">
        <v>32</v>
      </c>
      <c r="Q49" s="58">
        <v>52</v>
      </c>
      <c r="R49" s="58">
        <v>78.469714495524144</v>
      </c>
      <c r="S49" s="58">
        <v>28.862983898280184</v>
      </c>
      <c r="T49" s="58">
        <v>33.619337767484559</v>
      </c>
      <c r="U49" s="58">
        <v>43.97095956278843</v>
      </c>
      <c r="V49" s="58">
        <v>33.580052795435286</v>
      </c>
      <c r="W49" s="58">
        <v>42.381137618281791</v>
      </c>
      <c r="X49" s="58">
        <v>85.8158430956817</v>
      </c>
      <c r="Y49" s="58">
        <v>70.603227751669266</v>
      </c>
      <c r="Z49" s="58">
        <v>71.93811354821058</v>
      </c>
      <c r="AA49" s="58">
        <v>23.221622750715383</v>
      </c>
      <c r="AB49" s="58">
        <v>70.348468561730257</v>
      </c>
      <c r="AC49" s="58">
        <v>73.283356690639863</v>
      </c>
      <c r="AD49" s="58">
        <v>28</v>
      </c>
      <c r="AE49" s="58">
        <v>53</v>
      </c>
      <c r="AF49" s="58">
        <v>67</v>
      </c>
      <c r="AG49" s="58">
        <v>94</v>
      </c>
      <c r="AH49" s="58">
        <v>53</v>
      </c>
      <c r="AI49" s="58">
        <v>63</v>
      </c>
      <c r="AJ49" s="58">
        <v>19</v>
      </c>
      <c r="AK49" s="58">
        <v>42</v>
      </c>
      <c r="AL49" s="58">
        <v>49</v>
      </c>
      <c r="AM49" s="58">
        <v>102</v>
      </c>
      <c r="AN49" s="58">
        <v>48</v>
      </c>
      <c r="AO49" s="58">
        <v>44</v>
      </c>
      <c r="AP49" s="58">
        <v>87.680986584049705</v>
      </c>
      <c r="AQ49" s="58">
        <v>88.959104798912037</v>
      </c>
      <c r="AR49" s="58">
        <v>29.947358025037634</v>
      </c>
      <c r="AS49" s="58">
        <v>94.73684210526315</v>
      </c>
      <c r="AT49" s="58">
        <v>69.493995459882356</v>
      </c>
      <c r="AU49" s="58">
        <v>100</v>
      </c>
      <c r="AV49" s="58">
        <v>20.887201834208387</v>
      </c>
      <c r="AW49" s="58">
        <v>22.37962275032838</v>
      </c>
      <c r="AX49" s="58">
        <v>68.748036258285524</v>
      </c>
      <c r="AY49" s="58">
        <v>3.4370747502984549</v>
      </c>
      <c r="AZ49" s="58" t="s">
        <v>920</v>
      </c>
      <c r="BA49" s="58">
        <v>49.250000000000007</v>
      </c>
      <c r="BB49" s="58">
        <v>25.624361607504415</v>
      </c>
      <c r="BC49" s="58">
        <v>25.983651694949263</v>
      </c>
      <c r="BD49" s="58">
        <v>10.006043693722217</v>
      </c>
      <c r="BE49" s="58">
        <v>43.973361387886825</v>
      </c>
      <c r="BF49" s="58">
        <v>77.933473606756237</v>
      </c>
      <c r="BG49" s="58" t="s">
        <v>920</v>
      </c>
      <c r="BH49" s="58" t="s">
        <v>920</v>
      </c>
      <c r="BI49" s="58">
        <v>69.00340564454892</v>
      </c>
      <c r="BJ49" s="58">
        <v>9.6746063895905365</v>
      </c>
      <c r="BK49" s="58">
        <v>41.290916423821464</v>
      </c>
      <c r="BL49" s="58">
        <v>14.351282723780233</v>
      </c>
      <c r="BM49" s="58">
        <v>65.07380806294438</v>
      </c>
      <c r="BN49" s="58">
        <v>57.127463982646901</v>
      </c>
      <c r="BO49" s="58">
        <v>30.986980281422177</v>
      </c>
      <c r="BP49" s="58">
        <v>16.336298146113716</v>
      </c>
      <c r="BQ49" s="58">
        <v>85.98608860122765</v>
      </c>
      <c r="BR49" s="58">
        <v>93.327513598843311</v>
      </c>
      <c r="BS49" s="58" t="s">
        <v>920</v>
      </c>
      <c r="BT49" s="58">
        <v>78.133927086974097</v>
      </c>
      <c r="BU49" s="58">
        <v>57.291177862323408</v>
      </c>
      <c r="BV49" s="58">
        <v>78.437499999865238</v>
      </c>
      <c r="BW49" s="58">
        <v>53.983852434938321</v>
      </c>
      <c r="BX49" s="58">
        <v>75</v>
      </c>
      <c r="BY49" s="58">
        <v>88.303608461219412</v>
      </c>
      <c r="BZ49" s="58">
        <v>68.112568768514606</v>
      </c>
      <c r="CA49" s="58">
        <v>83.895944875203341</v>
      </c>
      <c r="CB49" s="58">
        <v>63.805827000913808</v>
      </c>
      <c r="CC49" s="58" t="s">
        <v>920</v>
      </c>
      <c r="CD49" s="58">
        <v>4.2342618127982483</v>
      </c>
      <c r="CE49" s="58">
        <v>52.20222100235317</v>
      </c>
      <c r="CF49" s="58" t="s">
        <v>920</v>
      </c>
      <c r="CG49" s="58">
        <v>13.228385436994728</v>
      </c>
      <c r="CH49" s="58">
        <v>66.152815013404833</v>
      </c>
      <c r="CI49" s="58">
        <v>59.895833333333329</v>
      </c>
      <c r="CJ49" s="58">
        <v>100</v>
      </c>
      <c r="CK49" s="58">
        <v>69.993514676905164</v>
      </c>
      <c r="CL49" s="58">
        <v>100</v>
      </c>
      <c r="CM49" s="58">
        <v>49.780883482973977</v>
      </c>
      <c r="CN49" s="58">
        <v>81.818181818181827</v>
      </c>
      <c r="CO49" s="58">
        <v>73.412271259418731</v>
      </c>
      <c r="CP49" s="58">
        <v>76.244180403969821</v>
      </c>
      <c r="CQ49" s="58">
        <v>16</v>
      </c>
      <c r="CR49" s="58">
        <v>33</v>
      </c>
      <c r="CS49" s="58">
        <v>69</v>
      </c>
      <c r="CT49" s="58">
        <v>63</v>
      </c>
      <c r="CU49" s="58">
        <v>73</v>
      </c>
      <c r="CV49" s="58">
        <v>1</v>
      </c>
      <c r="CW49" s="58">
        <v>41</v>
      </c>
      <c r="CX49" s="58">
        <v>32</v>
      </c>
      <c r="CY49" s="58">
        <v>46</v>
      </c>
      <c r="CZ49" s="58">
        <v>75</v>
      </c>
      <c r="DA49" s="58" t="s">
        <v>920</v>
      </c>
      <c r="DB49" s="58">
        <v>44</v>
      </c>
      <c r="DC49" s="58">
        <v>18</v>
      </c>
      <c r="DD49" s="58">
        <v>32</v>
      </c>
      <c r="DE49" s="58">
        <v>76</v>
      </c>
      <c r="DF49" s="58">
        <v>78</v>
      </c>
      <c r="DG49" s="58">
        <v>36</v>
      </c>
      <c r="DH49" s="58" t="s">
        <v>920</v>
      </c>
      <c r="DI49" s="58" t="s">
        <v>920</v>
      </c>
      <c r="DJ49" s="58">
        <v>39</v>
      </c>
      <c r="DK49" s="58">
        <v>48</v>
      </c>
      <c r="DL49" s="58">
        <v>62</v>
      </c>
      <c r="DM49" s="58">
        <v>48</v>
      </c>
      <c r="DN49" s="58">
        <v>73</v>
      </c>
      <c r="DO49" s="58">
        <v>22</v>
      </c>
      <c r="DP49" s="58">
        <v>75</v>
      </c>
      <c r="DQ49" s="58">
        <v>39</v>
      </c>
      <c r="DR49" s="58">
        <v>24</v>
      </c>
      <c r="DS49" s="58">
        <v>48</v>
      </c>
      <c r="DT49" s="58" t="s">
        <v>920</v>
      </c>
      <c r="DU49" s="58">
        <v>17</v>
      </c>
      <c r="DV49" s="58">
        <v>44</v>
      </c>
      <c r="DW49" s="58">
        <v>49</v>
      </c>
      <c r="DX49" s="58">
        <v>48</v>
      </c>
      <c r="DY49" s="58">
        <v>72</v>
      </c>
      <c r="DZ49" s="58">
        <v>15</v>
      </c>
      <c r="EA49" s="58">
        <v>53</v>
      </c>
      <c r="EB49" s="58">
        <v>43</v>
      </c>
      <c r="EC49" s="58">
        <v>66</v>
      </c>
      <c r="ED49" s="58" t="s">
        <v>920</v>
      </c>
      <c r="EE49" s="58">
        <v>39</v>
      </c>
      <c r="EF49" s="58">
        <v>71</v>
      </c>
      <c r="EG49" s="58" t="s">
        <v>920</v>
      </c>
      <c r="EH49" s="58">
        <v>63</v>
      </c>
      <c r="EI49" s="58">
        <v>48</v>
      </c>
      <c r="EJ49" s="58">
        <v>86</v>
      </c>
      <c r="EK49" s="58">
        <v>1</v>
      </c>
      <c r="EL49" s="58">
        <v>52</v>
      </c>
      <c r="EM49" s="58">
        <v>1</v>
      </c>
      <c r="EN49" s="58">
        <v>39</v>
      </c>
      <c r="EO49" s="58">
        <v>56</v>
      </c>
      <c r="EP49" s="58">
        <v>74</v>
      </c>
      <c r="EQ49" s="58">
        <v>40</v>
      </c>
    </row>
    <row r="50" spans="1:147" x14ac:dyDescent="0.45">
      <c r="A50" t="s">
        <v>79</v>
      </c>
      <c r="B50" s="59" t="s">
        <v>332</v>
      </c>
      <c r="C50" s="37" t="s">
        <v>31</v>
      </c>
      <c r="D50" s="37" t="s">
        <v>881</v>
      </c>
      <c r="E50" s="104">
        <v>26358.582999999999</v>
      </c>
      <c r="F50" s="104">
        <v>71702000</v>
      </c>
      <c r="G50" s="87">
        <v>54.539157304052829</v>
      </c>
      <c r="H50" s="1" t="s">
        <v>193</v>
      </c>
      <c r="I50" s="58">
        <v>44</v>
      </c>
      <c r="J50" s="87">
        <v>48.06915101100028</v>
      </c>
      <c r="K50" s="87">
        <v>45.924789491829699</v>
      </c>
      <c r="L50" s="87">
        <v>69.55080980473862</v>
      </c>
      <c r="M50" s="87">
        <v>54.611878908642701</v>
      </c>
      <c r="N50" s="58">
        <v>46</v>
      </c>
      <c r="O50" s="58">
        <v>46</v>
      </c>
      <c r="P50" s="58">
        <v>46</v>
      </c>
      <c r="Q50" s="58">
        <v>58</v>
      </c>
      <c r="R50" s="58">
        <v>76.747477709027635</v>
      </c>
      <c r="S50" s="58">
        <v>26.575277648172918</v>
      </c>
      <c r="T50" s="58">
        <v>40.884697675800268</v>
      </c>
      <c r="U50" s="58">
        <v>68.357769661185117</v>
      </c>
      <c r="V50" s="58">
        <v>21.322529131609286</v>
      </c>
      <c r="W50" s="58">
        <v>48.094069682694688</v>
      </c>
      <c r="X50" s="58">
        <v>68.721892134312839</v>
      </c>
      <c r="Y50" s="58">
        <v>63.558141811371783</v>
      </c>
      <c r="Z50" s="58">
        <v>76.372395468531209</v>
      </c>
      <c r="AA50" s="58">
        <v>31.339937132526558</v>
      </c>
      <c r="AB50" s="58">
        <v>76.379026563308813</v>
      </c>
      <c r="AC50" s="58">
        <v>56.116673030092727</v>
      </c>
      <c r="AD50" s="58">
        <v>36</v>
      </c>
      <c r="AE50" s="58">
        <v>59</v>
      </c>
      <c r="AF50" s="58">
        <v>44</v>
      </c>
      <c r="AG50" s="58">
        <v>13</v>
      </c>
      <c r="AH50" s="58">
        <v>103</v>
      </c>
      <c r="AI50" s="58">
        <v>40</v>
      </c>
      <c r="AJ50" s="58">
        <v>51</v>
      </c>
      <c r="AK50" s="58">
        <v>60</v>
      </c>
      <c r="AL50" s="58">
        <v>35</v>
      </c>
      <c r="AM50" s="58">
        <v>68</v>
      </c>
      <c r="AN50" s="58">
        <v>29</v>
      </c>
      <c r="AO50" s="58">
        <v>89</v>
      </c>
      <c r="AP50" s="58">
        <v>66.713306346402007</v>
      </c>
      <c r="AQ50" s="58">
        <v>52.461374434338957</v>
      </c>
      <c r="AR50" s="58">
        <v>60.837592607836669</v>
      </c>
      <c r="AS50" s="58">
        <v>94.73684210526315</v>
      </c>
      <c r="AT50" s="58">
        <v>85.832571802764917</v>
      </c>
      <c r="AU50" s="58">
        <v>99.903178957560101</v>
      </c>
      <c r="AV50" s="58">
        <v>5.0757386989530149</v>
      </c>
      <c r="AW50" s="58">
        <v>2.8685326940885494</v>
      </c>
      <c r="AX50" s="58">
        <v>65.94039029116513</v>
      </c>
      <c r="AY50" s="58">
        <v>32.416448908484981</v>
      </c>
      <c r="AZ50" s="58">
        <v>77.065122490742866</v>
      </c>
      <c r="BA50" s="58">
        <v>54.499999999999993</v>
      </c>
      <c r="BB50" s="58">
        <v>7.5418450892718232</v>
      </c>
      <c r="BC50" s="58">
        <v>24.431823123186394</v>
      </c>
      <c r="BD50" s="58">
        <v>56.887575597131132</v>
      </c>
      <c r="BE50" s="58">
        <v>56.712641088472978</v>
      </c>
      <c r="BF50" s="58">
        <v>73.523371536961008</v>
      </c>
      <c r="BG50" s="58">
        <v>86.307490422175377</v>
      </c>
      <c r="BH50" s="58" t="s">
        <v>920</v>
      </c>
      <c r="BI50" s="58">
        <v>40.01291325836975</v>
      </c>
      <c r="BJ50" s="58">
        <v>0.785157304890995</v>
      </c>
      <c r="BK50" s="58" t="s">
        <v>920</v>
      </c>
      <c r="BL50" s="58">
        <v>23.169516831567119</v>
      </c>
      <c r="BM50" s="58">
        <v>71.252752012126891</v>
      </c>
      <c r="BN50" s="58">
        <v>53.441694556818575</v>
      </c>
      <c r="BO50" s="58">
        <v>49.488448473105677</v>
      </c>
      <c r="BP50" s="58">
        <v>18.193383688727611</v>
      </c>
      <c r="BQ50" s="58">
        <v>64.856586873306924</v>
      </c>
      <c r="BR50" s="58">
        <v>99.061351313289393</v>
      </c>
      <c r="BS50" s="58">
        <v>57.565645623757192</v>
      </c>
      <c r="BT50" s="58">
        <v>53.403984726897882</v>
      </c>
      <c r="BU50" s="58">
        <v>46.188722244539598</v>
      </c>
      <c r="BV50" s="58">
        <v>76.874999999917961</v>
      </c>
      <c r="BW50" s="58">
        <v>43.213092162878347</v>
      </c>
      <c r="BX50" s="58">
        <v>100</v>
      </c>
      <c r="BY50" s="58">
        <v>51.513894649523017</v>
      </c>
      <c r="BZ50" s="58">
        <v>73.910283537875571</v>
      </c>
      <c r="CA50" s="58">
        <v>88.748729735642939</v>
      </c>
      <c r="CB50" s="58">
        <v>63.860202529294163</v>
      </c>
      <c r="CC50" s="58">
        <v>78.970366071312199</v>
      </c>
      <c r="CD50" s="58">
        <v>0.347615258766443</v>
      </c>
      <c r="CE50" s="58">
        <v>71.069959220436004</v>
      </c>
      <c r="CF50" s="58">
        <v>52.925005602249733</v>
      </c>
      <c r="CG50" s="58">
        <v>1.017168448654054</v>
      </c>
      <c r="CH50" s="58">
        <v>66.175156389633614</v>
      </c>
      <c r="CI50" s="58">
        <v>88.932291666666671</v>
      </c>
      <c r="CJ50" s="58">
        <v>75.255102040816325</v>
      </c>
      <c r="CK50" s="58">
        <v>72.804161226435966</v>
      </c>
      <c r="CL50" s="58">
        <v>100</v>
      </c>
      <c r="CM50" s="58">
        <v>23.391809815218263</v>
      </c>
      <c r="CN50" s="58">
        <v>68.181818181818173</v>
      </c>
      <c r="CO50" s="58">
        <v>69.106566200215283</v>
      </c>
      <c r="CP50" s="58">
        <v>27.572995846238328</v>
      </c>
      <c r="CQ50" s="58">
        <v>63</v>
      </c>
      <c r="CR50" s="58">
        <v>81</v>
      </c>
      <c r="CS50" s="58">
        <v>11</v>
      </c>
      <c r="CT50" s="58">
        <v>63</v>
      </c>
      <c r="CU50" s="58">
        <v>10</v>
      </c>
      <c r="CV50" s="58">
        <v>36</v>
      </c>
      <c r="CW50" s="58">
        <v>75</v>
      </c>
      <c r="CX50" s="58">
        <v>71</v>
      </c>
      <c r="CY50" s="58">
        <v>58</v>
      </c>
      <c r="CZ50" s="58">
        <v>26</v>
      </c>
      <c r="DA50" s="58">
        <v>28</v>
      </c>
      <c r="DB50" s="58">
        <v>37</v>
      </c>
      <c r="DC50" s="58">
        <v>32</v>
      </c>
      <c r="DD50" s="58">
        <v>38</v>
      </c>
      <c r="DE50" s="58">
        <v>8</v>
      </c>
      <c r="DF50" s="58">
        <v>53</v>
      </c>
      <c r="DG50" s="58">
        <v>54</v>
      </c>
      <c r="DH50" s="58">
        <v>57</v>
      </c>
      <c r="DI50" s="58" t="s">
        <v>920</v>
      </c>
      <c r="DJ50" s="58">
        <v>80</v>
      </c>
      <c r="DK50" s="58">
        <v>90</v>
      </c>
      <c r="DL50" s="58" t="s">
        <v>920</v>
      </c>
      <c r="DM50" s="58">
        <v>36</v>
      </c>
      <c r="DN50" s="58">
        <v>62</v>
      </c>
      <c r="DO50" s="58">
        <v>27</v>
      </c>
      <c r="DP50" s="58">
        <v>37</v>
      </c>
      <c r="DQ50" s="58">
        <v>35</v>
      </c>
      <c r="DR50" s="58">
        <v>60</v>
      </c>
      <c r="DS50" s="58">
        <v>21</v>
      </c>
      <c r="DT50" s="58">
        <v>18</v>
      </c>
      <c r="DU50" s="58">
        <v>41</v>
      </c>
      <c r="DV50" s="58">
        <v>63</v>
      </c>
      <c r="DW50" s="58">
        <v>53</v>
      </c>
      <c r="DX50" s="58">
        <v>66</v>
      </c>
      <c r="DY50" s="58">
        <v>1</v>
      </c>
      <c r="DZ50" s="58">
        <v>86</v>
      </c>
      <c r="EA50" s="58">
        <v>42</v>
      </c>
      <c r="EB50" s="58">
        <v>32</v>
      </c>
      <c r="EC50" s="58">
        <v>64</v>
      </c>
      <c r="ED50" s="58">
        <v>16</v>
      </c>
      <c r="EE50" s="58">
        <v>62</v>
      </c>
      <c r="EF50" s="58">
        <v>21</v>
      </c>
      <c r="EG50" s="58">
        <v>46</v>
      </c>
      <c r="EH50" s="58">
        <v>122</v>
      </c>
      <c r="EI50" s="58">
        <v>47</v>
      </c>
      <c r="EJ50" s="58">
        <v>19</v>
      </c>
      <c r="EK50" s="58">
        <v>44</v>
      </c>
      <c r="EL50" s="58">
        <v>41</v>
      </c>
      <c r="EM50" s="58">
        <v>1</v>
      </c>
      <c r="EN50" s="58">
        <v>65</v>
      </c>
      <c r="EO50" s="58">
        <v>93</v>
      </c>
      <c r="EP50" s="58">
        <v>83</v>
      </c>
      <c r="EQ50" s="58">
        <v>114</v>
      </c>
    </row>
    <row r="51" spans="1:147" x14ac:dyDescent="0.45">
      <c r="A51" t="s">
        <v>44</v>
      </c>
      <c r="B51" s="59" t="s">
        <v>354</v>
      </c>
      <c r="C51" s="37" t="s">
        <v>31</v>
      </c>
      <c r="D51" s="37" t="s">
        <v>882</v>
      </c>
      <c r="E51" s="104">
        <v>12100.965</v>
      </c>
      <c r="F51" s="104">
        <v>1438070000</v>
      </c>
      <c r="G51" s="87">
        <v>54.429208830950749</v>
      </c>
      <c r="H51" s="1" t="s">
        <v>206</v>
      </c>
      <c r="I51" s="58">
        <v>45</v>
      </c>
      <c r="J51" s="87">
        <v>53.07372729333823</v>
      </c>
      <c r="K51" s="87">
        <v>48.812404874984622</v>
      </c>
      <c r="L51" s="87">
        <v>56.617055194226928</v>
      </c>
      <c r="M51" s="87">
        <v>59.213647961253209</v>
      </c>
      <c r="N51" s="58">
        <v>33</v>
      </c>
      <c r="O51" s="58">
        <v>34</v>
      </c>
      <c r="P51" s="58">
        <v>73</v>
      </c>
      <c r="Q51" s="58">
        <v>42</v>
      </c>
      <c r="R51" s="58">
        <v>75.745078425917413</v>
      </c>
      <c r="S51" s="58">
        <v>44.267136310827794</v>
      </c>
      <c r="T51" s="58">
        <v>39.208967143269476</v>
      </c>
      <c r="U51" s="58">
        <v>50.702041519465951</v>
      </c>
      <c r="V51" s="58">
        <v>50.004371063844374</v>
      </c>
      <c r="W51" s="58">
        <v>45.730802041643535</v>
      </c>
      <c r="X51" s="58">
        <v>47.917532460009788</v>
      </c>
      <c r="Y51" s="58">
        <v>64.796842652948115</v>
      </c>
      <c r="Z51" s="58">
        <v>57.136790469722882</v>
      </c>
      <c r="AA51" s="58">
        <v>56.536568806778071</v>
      </c>
      <c r="AB51" s="58">
        <v>61.19392188758318</v>
      </c>
      <c r="AC51" s="58">
        <v>59.910453189398368</v>
      </c>
      <c r="AD51" s="58">
        <v>40</v>
      </c>
      <c r="AE51" s="58">
        <v>30</v>
      </c>
      <c r="AF51" s="58">
        <v>47</v>
      </c>
      <c r="AG51" s="58">
        <v>68</v>
      </c>
      <c r="AH51" s="58">
        <v>24</v>
      </c>
      <c r="AI51" s="58">
        <v>52</v>
      </c>
      <c r="AJ51" s="58">
        <v>78</v>
      </c>
      <c r="AK51" s="58">
        <v>56</v>
      </c>
      <c r="AL51" s="58">
        <v>80</v>
      </c>
      <c r="AM51" s="58">
        <v>14</v>
      </c>
      <c r="AN51" s="58">
        <v>77</v>
      </c>
      <c r="AO51" s="58">
        <v>83</v>
      </c>
      <c r="AP51" s="58">
        <v>65.726020695248494</v>
      </c>
      <c r="AQ51" s="58">
        <v>73.790831648835649</v>
      </c>
      <c r="AR51" s="58">
        <v>80.02704218411003</v>
      </c>
      <c r="AS51" s="58">
        <v>95.052631578947384</v>
      </c>
      <c r="AT51" s="58">
        <v>96.40975507296676</v>
      </c>
      <c r="AU51" s="58">
        <v>43.464189375396202</v>
      </c>
      <c r="AV51" s="58">
        <v>5.519493586815841</v>
      </c>
      <c r="AW51" s="58">
        <v>1.0949055913644079</v>
      </c>
      <c r="AX51" s="58">
        <v>70.454146065130914</v>
      </c>
      <c r="AY51" s="58">
        <v>100</v>
      </c>
      <c r="AZ51" s="58">
        <v>68.487607136982106</v>
      </c>
      <c r="BA51" s="58">
        <v>64.25</v>
      </c>
      <c r="BB51" s="58">
        <v>1.021171307148379</v>
      </c>
      <c r="BC51" s="58">
        <v>23.077090128947415</v>
      </c>
      <c r="BD51" s="58">
        <v>92.028204694002198</v>
      </c>
      <c r="BE51" s="58">
        <v>21.598633215868769</v>
      </c>
      <c r="BF51" s="58">
        <v>31.009790328996385</v>
      </c>
      <c r="BG51" s="58">
        <v>72.307692307692307</v>
      </c>
      <c r="BH51" s="58">
        <v>36.565887050770108</v>
      </c>
      <c r="BI51" s="58">
        <v>41.263316797693797</v>
      </c>
      <c r="BJ51" s="58">
        <v>12.433924333946695</v>
      </c>
      <c r="BK51" s="58">
        <v>100</v>
      </c>
      <c r="BL51" s="58">
        <v>46.320243123736986</v>
      </c>
      <c r="BM51" s="58">
        <v>78.154738273119918</v>
      </c>
      <c r="BN51" s="58">
        <v>48.86066640217593</v>
      </c>
      <c r="BO51" s="58">
        <v>45.812336815438421</v>
      </c>
      <c r="BP51" s="58">
        <v>10.095466675839882</v>
      </c>
      <c r="BQ51" s="58">
        <v>57.126885672019114</v>
      </c>
      <c r="BR51" s="58">
        <v>98.188877562155923</v>
      </c>
      <c r="BS51" s="58">
        <v>18.291014372284913</v>
      </c>
      <c r="BT51" s="58">
        <v>18.063352233579185</v>
      </c>
      <c r="BU51" s="58">
        <v>38.800770071746896</v>
      </c>
      <c r="BV51" s="58">
        <v>81.249999999882817</v>
      </c>
      <c r="BW51" s="58">
        <v>64.053725233757888</v>
      </c>
      <c r="BX51" s="58">
        <v>100</v>
      </c>
      <c r="BY51" s="58">
        <v>39.879717959352966</v>
      </c>
      <c r="BZ51" s="58">
        <v>63.764282691493868</v>
      </c>
      <c r="CA51" s="58">
        <v>49.039750722345381</v>
      </c>
      <c r="CB51" s="58">
        <v>34.744247442607808</v>
      </c>
      <c r="CC51" s="58">
        <v>80.998881022444451</v>
      </c>
      <c r="CD51" s="58">
        <v>1.4108981888716323</v>
      </c>
      <c r="CE51" s="58">
        <v>92.023288487976643</v>
      </c>
      <c r="CF51" s="58">
        <v>32.712088550264021</v>
      </c>
      <c r="CG51" s="58">
        <v>100</v>
      </c>
      <c r="CH51" s="58">
        <v>25.223413762287766</v>
      </c>
      <c r="CI51" s="58">
        <v>87.239583333333343</v>
      </c>
      <c r="CJ51" s="58">
        <v>95.663265306122454</v>
      </c>
      <c r="CK51" s="58">
        <v>46.574271828134414</v>
      </c>
      <c r="CL51" s="58">
        <v>62.222222222222221</v>
      </c>
      <c r="CM51" s="58" t="s">
        <v>920</v>
      </c>
      <c r="CN51" s="58">
        <v>62.727272727272734</v>
      </c>
      <c r="CO51" s="58">
        <v>71.905274488697515</v>
      </c>
      <c r="CP51" s="58">
        <v>27.975402482227508</v>
      </c>
      <c r="CQ51" s="58">
        <v>66</v>
      </c>
      <c r="CR51" s="58">
        <v>55</v>
      </c>
      <c r="CS51" s="58">
        <v>2</v>
      </c>
      <c r="CT51" s="58">
        <v>62</v>
      </c>
      <c r="CU51" s="58">
        <v>2</v>
      </c>
      <c r="CV51" s="58">
        <v>65</v>
      </c>
      <c r="CW51" s="58">
        <v>70</v>
      </c>
      <c r="CX51" s="58">
        <v>93</v>
      </c>
      <c r="CY51" s="58">
        <v>36</v>
      </c>
      <c r="CZ51" s="58">
        <v>1</v>
      </c>
      <c r="DA51" s="58">
        <v>42</v>
      </c>
      <c r="DB51" s="58">
        <v>26</v>
      </c>
      <c r="DC51" s="58">
        <v>48</v>
      </c>
      <c r="DD51" s="58">
        <v>44</v>
      </c>
      <c r="DE51" s="58">
        <v>2</v>
      </c>
      <c r="DF51" s="58">
        <v>108</v>
      </c>
      <c r="DG51" s="58">
        <v>101</v>
      </c>
      <c r="DH51" s="58">
        <v>70</v>
      </c>
      <c r="DI51" s="58">
        <v>17</v>
      </c>
      <c r="DJ51" s="58">
        <v>78</v>
      </c>
      <c r="DK51" s="58">
        <v>41</v>
      </c>
      <c r="DL51" s="58">
        <v>1</v>
      </c>
      <c r="DM51" s="58">
        <v>12</v>
      </c>
      <c r="DN51" s="58">
        <v>44</v>
      </c>
      <c r="DO51" s="58">
        <v>31</v>
      </c>
      <c r="DP51" s="58">
        <v>42</v>
      </c>
      <c r="DQ51" s="58">
        <v>55</v>
      </c>
      <c r="DR51" s="58">
        <v>71</v>
      </c>
      <c r="DS51" s="58">
        <v>29</v>
      </c>
      <c r="DT51" s="58">
        <v>48</v>
      </c>
      <c r="DU51" s="58">
        <v>75</v>
      </c>
      <c r="DV51" s="58">
        <v>78</v>
      </c>
      <c r="DW51" s="58">
        <v>41</v>
      </c>
      <c r="DX51" s="58">
        <v>34</v>
      </c>
      <c r="DY51" s="58">
        <v>1</v>
      </c>
      <c r="DZ51" s="58">
        <v>101</v>
      </c>
      <c r="EA51" s="58">
        <v>61</v>
      </c>
      <c r="EB51" s="58">
        <v>95</v>
      </c>
      <c r="EC51" s="58">
        <v>96</v>
      </c>
      <c r="ED51" s="58">
        <v>12</v>
      </c>
      <c r="EE51" s="58">
        <v>49</v>
      </c>
      <c r="EF51" s="58">
        <v>3</v>
      </c>
      <c r="EG51" s="58">
        <v>70</v>
      </c>
      <c r="EH51" s="58">
        <v>1</v>
      </c>
      <c r="EI51" s="58">
        <v>106</v>
      </c>
      <c r="EJ51" s="58">
        <v>26</v>
      </c>
      <c r="EK51" s="58">
        <v>3</v>
      </c>
      <c r="EL51" s="58">
        <v>104</v>
      </c>
      <c r="EM51" s="58">
        <v>94</v>
      </c>
      <c r="EN51" s="58" t="s">
        <v>920</v>
      </c>
      <c r="EO51" s="58">
        <v>102</v>
      </c>
      <c r="EP51" s="58">
        <v>79</v>
      </c>
      <c r="EQ51" s="58">
        <v>112</v>
      </c>
    </row>
    <row r="52" spans="1:147" x14ac:dyDescent="0.45">
      <c r="A52" t="s">
        <v>32</v>
      </c>
      <c r="B52" s="59" t="s">
        <v>335</v>
      </c>
      <c r="C52" s="37" t="s">
        <v>10</v>
      </c>
      <c r="D52" s="37" t="s">
        <v>881</v>
      </c>
      <c r="E52" s="104">
        <v>20903.941999999999</v>
      </c>
      <c r="F52" s="104">
        <v>37733000</v>
      </c>
      <c r="G52" s="87">
        <v>54.300282179398216</v>
      </c>
      <c r="H52" s="1" t="s">
        <v>192</v>
      </c>
      <c r="I52" s="58">
        <v>46</v>
      </c>
      <c r="J52" s="87">
        <v>44.846760280524769</v>
      </c>
      <c r="K52" s="87">
        <v>46.661274715094521</v>
      </c>
      <c r="L52" s="87">
        <v>69.679654277224628</v>
      </c>
      <c r="M52" s="87">
        <v>56.013439444748975</v>
      </c>
      <c r="N52" s="58">
        <v>59</v>
      </c>
      <c r="O52" s="58">
        <v>43</v>
      </c>
      <c r="P52" s="58">
        <v>45</v>
      </c>
      <c r="Q52" s="58">
        <v>49</v>
      </c>
      <c r="R52" s="58">
        <v>68.806664995971005</v>
      </c>
      <c r="S52" s="58">
        <v>31.127001040918625</v>
      </c>
      <c r="T52" s="58">
        <v>34.606614804684696</v>
      </c>
      <c r="U52" s="58">
        <v>68.716015397451429</v>
      </c>
      <c r="V52" s="58">
        <v>23.072641015577826</v>
      </c>
      <c r="W52" s="58">
        <v>48.195167732254298</v>
      </c>
      <c r="X52" s="58">
        <v>71.3394307544703</v>
      </c>
      <c r="Y52" s="58">
        <v>58.420825617592335</v>
      </c>
      <c r="Z52" s="58">
        <v>79.278706459611271</v>
      </c>
      <c r="AA52" s="58">
        <v>51.932945757322614</v>
      </c>
      <c r="AB52" s="58">
        <v>55.509173660886383</v>
      </c>
      <c r="AC52" s="58">
        <v>60.59819891603793</v>
      </c>
      <c r="AD52" s="58">
        <v>63</v>
      </c>
      <c r="AE52" s="58">
        <v>49</v>
      </c>
      <c r="AF52" s="58">
        <v>63</v>
      </c>
      <c r="AG52" s="58">
        <v>12</v>
      </c>
      <c r="AH52" s="58">
        <v>93</v>
      </c>
      <c r="AI52" s="58">
        <v>39</v>
      </c>
      <c r="AJ52" s="58">
        <v>48</v>
      </c>
      <c r="AK52" s="58">
        <v>74</v>
      </c>
      <c r="AL52" s="58">
        <v>26</v>
      </c>
      <c r="AM52" s="58">
        <v>19</v>
      </c>
      <c r="AN52" s="58">
        <v>91</v>
      </c>
      <c r="AO52" s="58">
        <v>78</v>
      </c>
      <c r="AP52" s="58">
        <v>74.7844648537789</v>
      </c>
      <c r="AQ52" s="58">
        <v>52.363864379187454</v>
      </c>
      <c r="AR52" s="58">
        <v>59.044893299051395</v>
      </c>
      <c r="AS52" s="58">
        <v>52.631578947368418</v>
      </c>
      <c r="AT52" s="58">
        <v>75.022749226420331</v>
      </c>
      <c r="AU52" s="58">
        <v>98.992439270019503</v>
      </c>
      <c r="AV52" s="58">
        <v>20.101890523046787</v>
      </c>
      <c r="AW52" s="58">
        <v>5.4307210884426231</v>
      </c>
      <c r="AX52" s="58">
        <v>74.506469717542117</v>
      </c>
      <c r="AY52" s="58">
        <v>24.468922834642971</v>
      </c>
      <c r="AZ52" s="58">
        <v>65.044154643053105</v>
      </c>
      <c r="BA52" s="58">
        <v>40.5</v>
      </c>
      <c r="BB52" s="58">
        <v>7.7552076257841288E-2</v>
      </c>
      <c r="BC52" s="58">
        <v>32.804752499427835</v>
      </c>
      <c r="BD52" s="58" t="s">
        <v>920</v>
      </c>
      <c r="BE52" s="58">
        <v>73.687259511789392</v>
      </c>
      <c r="BF52" s="58">
        <v>63.744771283113458</v>
      </c>
      <c r="BG52" s="58" t="s">
        <v>920</v>
      </c>
      <c r="BH52" s="58" t="s">
        <v>920</v>
      </c>
      <c r="BI52" s="58" t="s">
        <v>920</v>
      </c>
      <c r="BJ52" s="58">
        <v>7.1758221393062689</v>
      </c>
      <c r="BK52" s="58">
        <v>44.786308086319394</v>
      </c>
      <c r="BL52" s="58">
        <v>17.255792821107807</v>
      </c>
      <c r="BM52" s="58">
        <v>98.238712238784416</v>
      </c>
      <c r="BN52" s="58">
        <v>55.394936630197357</v>
      </c>
      <c r="BO52" s="58">
        <v>34.083575528636615</v>
      </c>
      <c r="BP52" s="58">
        <v>5.0634465313987942</v>
      </c>
      <c r="BQ52" s="58">
        <v>74.126901574130926</v>
      </c>
      <c r="BR52" s="58">
        <v>80.701680814258765</v>
      </c>
      <c r="BS52" s="58" t="s">
        <v>920</v>
      </c>
      <c r="BT52" s="58">
        <v>59.189709875021215</v>
      </c>
      <c r="BU52" s="58">
        <v>35.56113759135868</v>
      </c>
      <c r="BV52" s="58">
        <v>61.249999999695312</v>
      </c>
      <c r="BW52" s="58">
        <v>33.99062633266049</v>
      </c>
      <c r="BX52" s="58">
        <v>100</v>
      </c>
      <c r="BY52" s="58">
        <v>61.302364164247201</v>
      </c>
      <c r="BZ52" s="58">
        <v>100</v>
      </c>
      <c r="CA52" s="58">
        <v>76.84687550279547</v>
      </c>
      <c r="CB52" s="58">
        <v>56.081306943446286</v>
      </c>
      <c r="CC52" s="58">
        <v>84.186643392203351</v>
      </c>
      <c r="CD52" s="58">
        <v>1.9192594578787012</v>
      </c>
      <c r="CE52" s="58">
        <v>61.576794137347513</v>
      </c>
      <c r="CF52" s="58">
        <v>70.578562478498412</v>
      </c>
      <c r="CG52" s="58">
        <v>73.657166955565827</v>
      </c>
      <c r="CH52" s="58">
        <v>31.724754244861479</v>
      </c>
      <c r="CI52" s="58">
        <v>57.942708333333329</v>
      </c>
      <c r="CJ52" s="58">
        <v>95.408163265306115</v>
      </c>
      <c r="CK52" s="58">
        <v>58.311953543622593</v>
      </c>
      <c r="CL52" s="58">
        <v>91.111111111111114</v>
      </c>
      <c r="CM52" s="58">
        <v>42.251942400497462</v>
      </c>
      <c r="CN52" s="58">
        <v>78.181818181818187</v>
      </c>
      <c r="CO52" s="58">
        <v>57.588805166846065</v>
      </c>
      <c r="CP52" s="58">
        <v>37.62934871886884</v>
      </c>
      <c r="CQ52" s="58">
        <v>50</v>
      </c>
      <c r="CR52" s="58">
        <v>82</v>
      </c>
      <c r="CS52" s="58">
        <v>12</v>
      </c>
      <c r="CT52" s="58">
        <v>109</v>
      </c>
      <c r="CU52" s="58">
        <v>45</v>
      </c>
      <c r="CV52" s="58">
        <v>37</v>
      </c>
      <c r="CW52" s="58">
        <v>42</v>
      </c>
      <c r="CX52" s="58">
        <v>57</v>
      </c>
      <c r="CY52" s="58">
        <v>18</v>
      </c>
      <c r="CZ52" s="58">
        <v>34</v>
      </c>
      <c r="DA52" s="58">
        <v>52</v>
      </c>
      <c r="DB52" s="58">
        <v>61</v>
      </c>
      <c r="DC52" s="58">
        <v>55</v>
      </c>
      <c r="DD52" s="58">
        <v>25</v>
      </c>
      <c r="DE52" s="58" t="s">
        <v>920</v>
      </c>
      <c r="DF52" s="58">
        <v>25</v>
      </c>
      <c r="DG52" s="58">
        <v>71</v>
      </c>
      <c r="DH52" s="58" t="s">
        <v>920</v>
      </c>
      <c r="DI52" s="58" t="s">
        <v>920</v>
      </c>
      <c r="DJ52" s="58" t="s">
        <v>920</v>
      </c>
      <c r="DK52" s="58">
        <v>59</v>
      </c>
      <c r="DL52" s="58">
        <v>53</v>
      </c>
      <c r="DM52" s="58">
        <v>44</v>
      </c>
      <c r="DN52" s="58">
        <v>5</v>
      </c>
      <c r="DO52" s="58">
        <v>23</v>
      </c>
      <c r="DP52" s="58">
        <v>71</v>
      </c>
      <c r="DQ52" s="58">
        <v>70</v>
      </c>
      <c r="DR52" s="58">
        <v>46</v>
      </c>
      <c r="DS52" s="58">
        <v>75</v>
      </c>
      <c r="DT52" s="58" t="s">
        <v>920</v>
      </c>
      <c r="DU52" s="58">
        <v>36</v>
      </c>
      <c r="DV52" s="58">
        <v>85</v>
      </c>
      <c r="DW52" s="58">
        <v>80</v>
      </c>
      <c r="DX52" s="58">
        <v>80</v>
      </c>
      <c r="DY52" s="58">
        <v>1</v>
      </c>
      <c r="DZ52" s="58">
        <v>68</v>
      </c>
      <c r="EA52" s="58">
        <v>1</v>
      </c>
      <c r="EB52" s="58">
        <v>57</v>
      </c>
      <c r="EC52" s="58">
        <v>83</v>
      </c>
      <c r="ED52" s="58">
        <v>7</v>
      </c>
      <c r="EE52" s="58">
        <v>47</v>
      </c>
      <c r="EF52" s="58">
        <v>44</v>
      </c>
      <c r="EG52" s="58">
        <v>22</v>
      </c>
      <c r="EH52" s="58">
        <v>5</v>
      </c>
      <c r="EI52" s="58">
        <v>100</v>
      </c>
      <c r="EJ52" s="58">
        <v>92</v>
      </c>
      <c r="EK52" s="58">
        <v>4</v>
      </c>
      <c r="EL52" s="58">
        <v>85</v>
      </c>
      <c r="EM52" s="58">
        <v>53</v>
      </c>
      <c r="EN52" s="58">
        <v>42</v>
      </c>
      <c r="EO52" s="58">
        <v>62</v>
      </c>
      <c r="EP52" s="58">
        <v>101</v>
      </c>
      <c r="EQ52" s="58">
        <v>102</v>
      </c>
    </row>
    <row r="53" spans="1:147" x14ac:dyDescent="0.45">
      <c r="A53" t="s">
        <v>82</v>
      </c>
      <c r="B53" s="59" t="s">
        <v>344</v>
      </c>
      <c r="C53" s="37" t="s">
        <v>10</v>
      </c>
      <c r="D53" s="37" t="s">
        <v>881</v>
      </c>
      <c r="E53" s="104">
        <v>32741.865000000002</v>
      </c>
      <c r="F53" s="104">
        <v>6773000</v>
      </c>
      <c r="G53" s="87">
        <v>54.153166255122869</v>
      </c>
      <c r="H53" s="1" t="s">
        <v>196</v>
      </c>
      <c r="I53" s="58">
        <v>47</v>
      </c>
      <c r="J53" s="87">
        <v>40.171786353362826</v>
      </c>
      <c r="K53" s="87">
        <v>43.468892177923514</v>
      </c>
      <c r="L53" s="87">
        <v>69.151112322757214</v>
      </c>
      <c r="M53" s="87">
        <v>63.820874166447936</v>
      </c>
      <c r="N53" s="58">
        <v>78</v>
      </c>
      <c r="O53" s="58">
        <v>55</v>
      </c>
      <c r="P53" s="58">
        <v>47</v>
      </c>
      <c r="Q53" s="58">
        <v>31</v>
      </c>
      <c r="R53" s="58">
        <v>68.636309970093919</v>
      </c>
      <c r="S53" s="58">
        <v>27.417044086648392</v>
      </c>
      <c r="T53" s="58">
        <v>24.462005003346178</v>
      </c>
      <c r="U53" s="58">
        <v>58.377857269272454</v>
      </c>
      <c r="V53" s="58">
        <v>30.054194076608621</v>
      </c>
      <c r="W53" s="58">
        <v>41.974625187889458</v>
      </c>
      <c r="X53" s="58">
        <v>67.039229047517352</v>
      </c>
      <c r="Y53" s="58">
        <v>68.212357843781987</v>
      </c>
      <c r="Z53" s="58">
        <v>72.201750076972331</v>
      </c>
      <c r="AA53" s="58">
        <v>54.314610959009997</v>
      </c>
      <c r="AB53" s="58">
        <v>71.510782470240997</v>
      </c>
      <c r="AC53" s="58">
        <v>65.637229070092829</v>
      </c>
      <c r="AD53" s="58">
        <v>65</v>
      </c>
      <c r="AE53" s="58">
        <v>55</v>
      </c>
      <c r="AF53" s="58">
        <v>99</v>
      </c>
      <c r="AG53" s="58">
        <v>35</v>
      </c>
      <c r="AH53" s="58">
        <v>66</v>
      </c>
      <c r="AI53" s="58">
        <v>64</v>
      </c>
      <c r="AJ53" s="58">
        <v>53</v>
      </c>
      <c r="AK53" s="58">
        <v>47</v>
      </c>
      <c r="AL53" s="58">
        <v>48</v>
      </c>
      <c r="AM53" s="58">
        <v>16</v>
      </c>
      <c r="AN53" s="58">
        <v>44</v>
      </c>
      <c r="AO53" s="58">
        <v>59</v>
      </c>
      <c r="AP53" s="58">
        <v>69.504718336265995</v>
      </c>
      <c r="AQ53" s="58">
        <v>70.254040989222162</v>
      </c>
      <c r="AR53" s="58">
        <v>31.080105465021855</v>
      </c>
      <c r="AS53" s="58">
        <v>97.578947368420572</v>
      </c>
      <c r="AT53" s="58">
        <v>74.763737691539006</v>
      </c>
      <c r="AU53" s="58" t="s">
        <v>920</v>
      </c>
      <c r="AV53" s="58">
        <v>26.3145496156523</v>
      </c>
      <c r="AW53" s="58">
        <v>6.2880094070312644</v>
      </c>
      <c r="AX53" s="58">
        <v>70.366709842649655</v>
      </c>
      <c r="AY53" s="58">
        <v>6.6989074812603553</v>
      </c>
      <c r="AZ53" s="58">
        <v>61.18106912096772</v>
      </c>
      <c r="BA53" s="58">
        <v>31.25</v>
      </c>
      <c r="BB53" s="58">
        <v>2.9480165674253702</v>
      </c>
      <c r="BC53" s="58">
        <v>2.4689343249916207</v>
      </c>
      <c r="BD53" s="58">
        <v>13.765623135484395</v>
      </c>
      <c r="BE53" s="58">
        <v>44.329322041875535</v>
      </c>
      <c r="BF53" s="58">
        <v>76.95494543819143</v>
      </c>
      <c r="BG53" s="58">
        <v>98.461538461538453</v>
      </c>
      <c r="BH53" s="58" t="s">
        <v>920</v>
      </c>
      <c r="BI53" s="58">
        <v>57.745908906965418</v>
      </c>
      <c r="BJ53" s="58">
        <v>3.7599887062012809</v>
      </c>
      <c r="BK53" s="58">
        <v>48.475004274951075</v>
      </c>
      <c r="BL53" s="58">
        <v>10.235874418316703</v>
      </c>
      <c r="BM53" s="58">
        <v>82.431635808038877</v>
      </c>
      <c r="BN53" s="58" t="s">
        <v>920</v>
      </c>
      <c r="BO53" s="58">
        <v>29.699527625284439</v>
      </c>
      <c r="BP53" s="58">
        <v>13.792712130345066</v>
      </c>
      <c r="BQ53" s="58">
        <v>76.255940499761394</v>
      </c>
      <c r="BR53" s="58">
        <v>96.173560120629389</v>
      </c>
      <c r="BS53" s="58">
        <v>56.383468426863281</v>
      </c>
      <c r="BT53" s="58">
        <v>39.343947142815338</v>
      </c>
      <c r="BU53" s="58">
        <v>45.679669406625976</v>
      </c>
      <c r="BV53" s="58">
        <v>79.062499999806647</v>
      </c>
      <c r="BW53" s="58">
        <v>33.967898534999044</v>
      </c>
      <c r="BX53" s="58">
        <v>100</v>
      </c>
      <c r="BY53" s="58">
        <v>82.351721277478234</v>
      </c>
      <c r="BZ53" s="58">
        <v>88.404570461278027</v>
      </c>
      <c r="CA53" s="58">
        <v>70.322066513320394</v>
      </c>
      <c r="CB53" s="58">
        <v>57.403762295724846</v>
      </c>
      <c r="CC53" s="58">
        <v>72.67660103756603</v>
      </c>
      <c r="CD53" s="58" t="s">
        <v>920</v>
      </c>
      <c r="CE53" s="58">
        <v>49.709987576893909</v>
      </c>
      <c r="CF53" s="58" t="s">
        <v>920</v>
      </c>
      <c r="CG53" s="58">
        <v>58.919234341126078</v>
      </c>
      <c r="CH53" s="58">
        <v>74.754244861483471</v>
      </c>
      <c r="CI53" s="58">
        <v>68.098958333333343</v>
      </c>
      <c r="CJ53" s="58">
        <v>77.040816326530631</v>
      </c>
      <c r="CK53" s="58">
        <v>66.317472105281666</v>
      </c>
      <c r="CL53" s="58">
        <v>82.222222222222214</v>
      </c>
      <c r="CM53" s="58">
        <v>43.51209195026545</v>
      </c>
      <c r="CN53" s="58">
        <v>90.909090909090907</v>
      </c>
      <c r="CO53" s="58">
        <v>63.078579117330463</v>
      </c>
      <c r="CP53" s="58">
        <v>47.87608638514682</v>
      </c>
      <c r="CQ53" s="58">
        <v>59</v>
      </c>
      <c r="CR53" s="58">
        <v>57</v>
      </c>
      <c r="CS53" s="58">
        <v>64</v>
      </c>
      <c r="CT53" s="58">
        <v>56</v>
      </c>
      <c r="CU53" s="58">
        <v>46</v>
      </c>
      <c r="CV53" s="58" t="s">
        <v>920</v>
      </c>
      <c r="CW53" s="58">
        <v>37</v>
      </c>
      <c r="CX53" s="58">
        <v>54</v>
      </c>
      <c r="CY53" s="58">
        <v>37</v>
      </c>
      <c r="CZ53" s="58">
        <v>58</v>
      </c>
      <c r="DA53" s="58">
        <v>63</v>
      </c>
      <c r="DB53" s="58">
        <v>89</v>
      </c>
      <c r="DC53" s="58">
        <v>42</v>
      </c>
      <c r="DD53" s="58">
        <v>111</v>
      </c>
      <c r="DE53" s="58">
        <v>67</v>
      </c>
      <c r="DF53" s="58">
        <v>77</v>
      </c>
      <c r="DG53" s="58">
        <v>42</v>
      </c>
      <c r="DH53" s="58">
        <v>16</v>
      </c>
      <c r="DI53" s="58" t="s">
        <v>920</v>
      </c>
      <c r="DJ53" s="58">
        <v>57</v>
      </c>
      <c r="DK53" s="58">
        <v>72</v>
      </c>
      <c r="DL53" s="58">
        <v>38</v>
      </c>
      <c r="DM53" s="58">
        <v>52</v>
      </c>
      <c r="DN53" s="58">
        <v>36</v>
      </c>
      <c r="DO53" s="58" t="s">
        <v>920</v>
      </c>
      <c r="DP53" s="58">
        <v>77</v>
      </c>
      <c r="DQ53" s="58">
        <v>44</v>
      </c>
      <c r="DR53" s="58">
        <v>41</v>
      </c>
      <c r="DS53" s="58">
        <v>41</v>
      </c>
      <c r="DT53" s="58">
        <v>20</v>
      </c>
      <c r="DU53" s="58">
        <v>53</v>
      </c>
      <c r="DV53" s="58">
        <v>64</v>
      </c>
      <c r="DW53" s="58">
        <v>48</v>
      </c>
      <c r="DX53" s="58">
        <v>81</v>
      </c>
      <c r="DY53" s="58">
        <v>1</v>
      </c>
      <c r="DZ53" s="58">
        <v>23</v>
      </c>
      <c r="EA53" s="58">
        <v>19</v>
      </c>
      <c r="EB53" s="58">
        <v>69</v>
      </c>
      <c r="EC53" s="58">
        <v>81</v>
      </c>
      <c r="ED53" s="58">
        <v>24</v>
      </c>
      <c r="EE53" s="58" t="s">
        <v>920</v>
      </c>
      <c r="EF53" s="58">
        <v>74</v>
      </c>
      <c r="EG53" s="58" t="s">
        <v>920</v>
      </c>
      <c r="EH53" s="58">
        <v>9</v>
      </c>
      <c r="EI53" s="58">
        <v>28</v>
      </c>
      <c r="EJ53" s="58">
        <v>69</v>
      </c>
      <c r="EK53" s="58">
        <v>39</v>
      </c>
      <c r="EL53" s="58">
        <v>64</v>
      </c>
      <c r="EM53" s="58">
        <v>69</v>
      </c>
      <c r="EN53" s="58">
        <v>41</v>
      </c>
      <c r="EO53" s="58">
        <v>28</v>
      </c>
      <c r="EP53" s="58">
        <v>95</v>
      </c>
      <c r="EQ53" s="58">
        <v>83</v>
      </c>
    </row>
    <row r="54" spans="1:147" x14ac:dyDescent="0.45">
      <c r="A54" t="s">
        <v>75</v>
      </c>
      <c r="B54" s="59" t="s">
        <v>333</v>
      </c>
      <c r="C54" s="37" t="s">
        <v>37</v>
      </c>
      <c r="D54" s="37" t="s">
        <v>880</v>
      </c>
      <c r="E54" s="104">
        <v>37190.133999999998</v>
      </c>
      <c r="F54" s="104">
        <v>3388000</v>
      </c>
      <c r="G54" s="87">
        <v>54.038316988723977</v>
      </c>
      <c r="H54" s="1" t="s">
        <v>188</v>
      </c>
      <c r="I54" s="58">
        <v>48</v>
      </c>
      <c r="J54" s="87">
        <v>45.359587869881125</v>
      </c>
      <c r="K54" s="87">
        <v>43.904205134251789</v>
      </c>
      <c r="L54" s="87">
        <v>65.452215039972373</v>
      </c>
      <c r="M54" s="87">
        <v>61.437259910790637</v>
      </c>
      <c r="N54" s="58">
        <v>57</v>
      </c>
      <c r="O54" s="58">
        <v>53</v>
      </c>
      <c r="P54" s="58">
        <v>53</v>
      </c>
      <c r="Q54" s="58">
        <v>39</v>
      </c>
      <c r="R54" s="58">
        <v>74.039974050847761</v>
      </c>
      <c r="S54" s="58">
        <v>25.186085451960142</v>
      </c>
      <c r="T54" s="58">
        <v>36.852704106835475</v>
      </c>
      <c r="U54" s="58">
        <v>50.239107306094184</v>
      </c>
      <c r="V54" s="58">
        <v>31.944512842804976</v>
      </c>
      <c r="W54" s="58">
        <v>49.528995253856195</v>
      </c>
      <c r="X54" s="58">
        <v>65.891507040201816</v>
      </c>
      <c r="Y54" s="58">
        <v>71.812884927079693</v>
      </c>
      <c r="Z54" s="58">
        <v>58.652253152635602</v>
      </c>
      <c r="AA54" s="58">
        <v>35.215924902836797</v>
      </c>
      <c r="AB54" s="58">
        <v>75.83492913754506</v>
      </c>
      <c r="AC54" s="58">
        <v>73.260925691990053</v>
      </c>
      <c r="AD54" s="58">
        <v>47</v>
      </c>
      <c r="AE54" s="58">
        <v>63</v>
      </c>
      <c r="AF54" s="58">
        <v>56</v>
      </c>
      <c r="AG54" s="58">
        <v>69</v>
      </c>
      <c r="AH54" s="58">
        <v>59</v>
      </c>
      <c r="AI54" s="58">
        <v>36</v>
      </c>
      <c r="AJ54" s="58">
        <v>54</v>
      </c>
      <c r="AK54" s="58">
        <v>36</v>
      </c>
      <c r="AL54" s="58">
        <v>76</v>
      </c>
      <c r="AM54" s="58">
        <v>55</v>
      </c>
      <c r="AN54" s="58">
        <v>31</v>
      </c>
      <c r="AO54" s="58">
        <v>45</v>
      </c>
      <c r="AP54" s="58">
        <v>79.277702853652002</v>
      </c>
      <c r="AQ54" s="58">
        <v>90.389838628362426</v>
      </c>
      <c r="AR54" s="58">
        <v>34.130480609419237</v>
      </c>
      <c r="AS54" s="58">
        <v>75.789473684210023</v>
      </c>
      <c r="AT54" s="58">
        <v>64.652348529442889</v>
      </c>
      <c r="AU54" s="58">
        <v>100</v>
      </c>
      <c r="AV54" s="58">
        <v>18.33779648502637</v>
      </c>
      <c r="AW54" s="58">
        <v>10.765400715211783</v>
      </c>
      <c r="AX54" s="58">
        <v>71.12481149757582</v>
      </c>
      <c r="AY54" s="58">
        <v>0.51633311002659654</v>
      </c>
      <c r="AZ54" s="58">
        <v>65.735835947412198</v>
      </c>
      <c r="BA54" s="58">
        <v>27</v>
      </c>
      <c r="BB54" s="58" t="s">
        <v>920</v>
      </c>
      <c r="BC54" s="58">
        <v>17.82227637309423</v>
      </c>
      <c r="BD54" s="58">
        <v>9.3917373602872658</v>
      </c>
      <c r="BE54" s="58">
        <v>59.164952043369588</v>
      </c>
      <c r="BF54" s="58">
        <v>80.948298119587747</v>
      </c>
      <c r="BG54" s="58">
        <v>98.324890136718608</v>
      </c>
      <c r="BH54" s="58">
        <v>3.3656588705076991</v>
      </c>
      <c r="BI54" s="58">
        <v>79.912153467710027</v>
      </c>
      <c r="BJ54" s="58">
        <v>6.3240078929520358</v>
      </c>
      <c r="BK54" s="58">
        <v>37.606000759071549</v>
      </c>
      <c r="BL54" s="58">
        <v>3.9358892514862918</v>
      </c>
      <c r="BM54" s="58">
        <v>85.949399068827375</v>
      </c>
      <c r="BN54" s="58">
        <v>67.891077369676594</v>
      </c>
      <c r="BO54" s="58">
        <v>34.490113174673503</v>
      </c>
      <c r="BP54" s="58">
        <v>9.7853914022473045</v>
      </c>
      <c r="BQ54" s="58">
        <v>67.985283256748389</v>
      </c>
      <c r="BR54" s="58">
        <v>93.631008779479473</v>
      </c>
      <c r="BS54" s="58" t="s">
        <v>920</v>
      </c>
      <c r="BT54" s="58">
        <v>36.058229084377579</v>
      </c>
      <c r="BU54" s="58">
        <v>59.122778264000871</v>
      </c>
      <c r="BV54" s="58">
        <v>45.312499999595715</v>
      </c>
      <c r="BW54" s="58">
        <v>65.184932352722726</v>
      </c>
      <c r="BX54" s="58">
        <v>100</v>
      </c>
      <c r="BY54" s="58">
        <v>89.444214019079212</v>
      </c>
      <c r="BZ54" s="58">
        <v>85.505713076597544</v>
      </c>
      <c r="CA54" s="58">
        <v>64.615108390639449</v>
      </c>
      <c r="CB54" s="58">
        <v>69.880232124831863</v>
      </c>
      <c r="CC54" s="58">
        <v>14.607959018473565</v>
      </c>
      <c r="CD54" s="58">
        <v>0.73496250306244115</v>
      </c>
      <c r="CE54" s="58">
        <v>45.378874952495515</v>
      </c>
      <c r="CF54" s="58">
        <v>50.130508747400071</v>
      </c>
      <c r="CG54" s="58">
        <v>44.619353408389159</v>
      </c>
      <c r="CH54" s="58">
        <v>75.98302055406613</v>
      </c>
      <c r="CI54" s="58">
        <v>87.109375</v>
      </c>
      <c r="CJ54" s="58">
        <v>58.673469387755105</v>
      </c>
      <c r="CK54" s="58">
        <v>70.151314329383013</v>
      </c>
      <c r="CL54" s="58">
        <v>100</v>
      </c>
      <c r="CM54" s="58">
        <v>36.16659234007107</v>
      </c>
      <c r="CN54" s="58">
        <v>83.636363636363626</v>
      </c>
      <c r="CO54" s="58">
        <v>85.791173304628629</v>
      </c>
      <c r="CP54" s="58">
        <v>74.899146973793805</v>
      </c>
      <c r="CQ54" s="58">
        <v>37</v>
      </c>
      <c r="CR54" s="58">
        <v>29</v>
      </c>
      <c r="CS54" s="58">
        <v>57</v>
      </c>
      <c r="CT54" s="58">
        <v>98</v>
      </c>
      <c r="CU54" s="58">
        <v>103</v>
      </c>
      <c r="CV54" s="58">
        <v>1</v>
      </c>
      <c r="CW54" s="58">
        <v>45</v>
      </c>
      <c r="CX54" s="58">
        <v>43</v>
      </c>
      <c r="CY54" s="58">
        <v>30</v>
      </c>
      <c r="CZ54" s="58">
        <v>107</v>
      </c>
      <c r="DA54" s="58">
        <v>48</v>
      </c>
      <c r="DB54" s="58">
        <v>102</v>
      </c>
      <c r="DC54" s="58" t="s">
        <v>920</v>
      </c>
      <c r="DD54" s="58">
        <v>62</v>
      </c>
      <c r="DE54" s="58">
        <v>82</v>
      </c>
      <c r="DF54" s="58">
        <v>44</v>
      </c>
      <c r="DG54" s="58">
        <v>26</v>
      </c>
      <c r="DH54" s="58">
        <v>21</v>
      </c>
      <c r="DI54" s="58">
        <v>45</v>
      </c>
      <c r="DJ54" s="58">
        <v>28</v>
      </c>
      <c r="DK54" s="58">
        <v>61</v>
      </c>
      <c r="DL54" s="58">
        <v>80</v>
      </c>
      <c r="DM54" s="58">
        <v>67</v>
      </c>
      <c r="DN54" s="58">
        <v>28</v>
      </c>
      <c r="DO54" s="58">
        <v>15</v>
      </c>
      <c r="DP54" s="58">
        <v>69</v>
      </c>
      <c r="DQ54" s="58">
        <v>56</v>
      </c>
      <c r="DR54" s="58">
        <v>57</v>
      </c>
      <c r="DS54" s="58">
        <v>47</v>
      </c>
      <c r="DT54" s="58" t="s">
        <v>920</v>
      </c>
      <c r="DU54" s="58">
        <v>55</v>
      </c>
      <c r="DV54" s="58">
        <v>40</v>
      </c>
      <c r="DW54" s="58">
        <v>102</v>
      </c>
      <c r="DX54" s="58">
        <v>31</v>
      </c>
      <c r="DY54" s="58">
        <v>1</v>
      </c>
      <c r="DZ54" s="58">
        <v>13</v>
      </c>
      <c r="EA54" s="58">
        <v>22</v>
      </c>
      <c r="EB54" s="58">
        <v>75</v>
      </c>
      <c r="EC54" s="58">
        <v>17</v>
      </c>
      <c r="ED54" s="58">
        <v>77</v>
      </c>
      <c r="EE54" s="58">
        <v>54</v>
      </c>
      <c r="EF54" s="58">
        <v>87</v>
      </c>
      <c r="EG54" s="58">
        <v>49</v>
      </c>
      <c r="EH54" s="58">
        <v>16</v>
      </c>
      <c r="EI54" s="58">
        <v>26</v>
      </c>
      <c r="EJ54" s="58">
        <v>27</v>
      </c>
      <c r="EK54" s="58">
        <v>83</v>
      </c>
      <c r="EL54" s="58">
        <v>50</v>
      </c>
      <c r="EM54" s="58">
        <v>1</v>
      </c>
      <c r="EN54" s="58">
        <v>47</v>
      </c>
      <c r="EO54" s="58">
        <v>47</v>
      </c>
      <c r="EP54" s="58">
        <v>29</v>
      </c>
      <c r="EQ54" s="58">
        <v>41</v>
      </c>
    </row>
    <row r="55" spans="1:147" x14ac:dyDescent="0.45">
      <c r="A55" t="s">
        <v>89</v>
      </c>
      <c r="B55" s="59" t="s">
        <v>347</v>
      </c>
      <c r="C55" s="37" t="s">
        <v>31</v>
      </c>
      <c r="D55" s="37" t="s">
        <v>881</v>
      </c>
      <c r="E55" s="104">
        <v>17633.887999999999</v>
      </c>
      <c r="F55" s="104">
        <v>281190000</v>
      </c>
      <c r="G55" s="87">
        <v>53.749827667186274</v>
      </c>
      <c r="H55" s="1" t="s">
        <v>205</v>
      </c>
      <c r="I55" s="58">
        <v>49</v>
      </c>
      <c r="J55" s="87">
        <v>56.96971819605244</v>
      </c>
      <c r="K55" s="87">
        <v>47.68657748923539</v>
      </c>
      <c r="L55" s="87">
        <v>57.767676090835387</v>
      </c>
      <c r="M55" s="87">
        <v>52.575338892621893</v>
      </c>
      <c r="N55" s="58">
        <v>26</v>
      </c>
      <c r="O55" s="58">
        <v>37</v>
      </c>
      <c r="P55" s="58">
        <v>70</v>
      </c>
      <c r="Q55" s="58">
        <v>71</v>
      </c>
      <c r="R55" s="58">
        <v>83.567707616309931</v>
      </c>
      <c r="S55" s="58">
        <v>39.851495644183274</v>
      </c>
      <c r="T55" s="58">
        <v>47.489951327664123</v>
      </c>
      <c r="U55" s="58">
        <v>59.290110545616542</v>
      </c>
      <c r="V55" s="58">
        <v>30.479201622289718</v>
      </c>
      <c r="W55" s="58">
        <v>53.290420299799919</v>
      </c>
      <c r="X55" s="58">
        <v>56.755655414254726</v>
      </c>
      <c r="Y55" s="58">
        <v>53.393528352055753</v>
      </c>
      <c r="Z55" s="58">
        <v>63.153844506195696</v>
      </c>
      <c r="AA55" s="58">
        <v>39.724287167164938</v>
      </c>
      <c r="AB55" s="58">
        <v>67.965085827890206</v>
      </c>
      <c r="AC55" s="58">
        <v>50.036643682810535</v>
      </c>
      <c r="AD55" s="58">
        <v>8</v>
      </c>
      <c r="AE55" s="58">
        <v>36</v>
      </c>
      <c r="AF55" s="58">
        <v>28</v>
      </c>
      <c r="AG55" s="58">
        <v>29</v>
      </c>
      <c r="AH55" s="58">
        <v>64</v>
      </c>
      <c r="AI55" s="58">
        <v>30</v>
      </c>
      <c r="AJ55" s="58">
        <v>62</v>
      </c>
      <c r="AK55" s="58">
        <v>83</v>
      </c>
      <c r="AL55" s="58">
        <v>67</v>
      </c>
      <c r="AM55" s="58">
        <v>38</v>
      </c>
      <c r="AN55" s="58">
        <v>58</v>
      </c>
      <c r="AO55" s="58">
        <v>106</v>
      </c>
      <c r="AP55" s="58">
        <v>73.851297352632699</v>
      </c>
      <c r="AQ55" s="58">
        <v>86.461931384828816</v>
      </c>
      <c r="AR55" s="58">
        <v>66.913190448346</v>
      </c>
      <c r="AS55" s="58">
        <v>95.526315789473713</v>
      </c>
      <c r="AT55" s="58">
        <v>91.848327763033424</v>
      </c>
      <c r="AU55" s="58">
        <v>86.805182959544993</v>
      </c>
      <c r="AV55" s="58">
        <v>4.6322575449074295</v>
      </c>
      <c r="AW55" s="58">
        <v>1.7376623842279919</v>
      </c>
      <c r="AX55" s="58">
        <v>65.914485599536505</v>
      </c>
      <c r="AY55" s="58">
        <v>87.121577048061155</v>
      </c>
      <c r="AZ55" s="58">
        <v>83.935923140897998</v>
      </c>
      <c r="BA55" s="58">
        <v>62.749999999999993</v>
      </c>
      <c r="BB55" s="58">
        <v>0.64803351804675047</v>
      </c>
      <c r="BC55" s="58">
        <v>42.625848651711742</v>
      </c>
      <c r="BD55" s="58">
        <v>64.314365850999479</v>
      </c>
      <c r="BE55" s="58">
        <v>80.049942341690183</v>
      </c>
      <c r="BF55" s="58">
        <v>52.991944653871258</v>
      </c>
      <c r="BG55" s="58">
        <v>93.84615384615384</v>
      </c>
      <c r="BH55" s="58">
        <v>5.2481460353679408</v>
      </c>
      <c r="BI55" s="58">
        <v>37.739452277780558</v>
      </c>
      <c r="BJ55" s="58">
        <v>1.8888884282466767</v>
      </c>
      <c r="BK55" s="58">
        <v>61.543762695025826</v>
      </c>
      <c r="BL55" s="58">
        <v>20.744703088105819</v>
      </c>
      <c r="BM55" s="58">
        <v>76.354952418763006</v>
      </c>
      <c r="BN55" s="58">
        <v>42.165750570520842</v>
      </c>
      <c r="BO55" s="58">
        <v>90.300672639565832</v>
      </c>
      <c r="BP55" s="58">
        <v>4.3403055703499813</v>
      </c>
      <c r="BQ55" s="58">
        <v>64.297725430771038</v>
      </c>
      <c r="BR55" s="58">
        <v>100</v>
      </c>
      <c r="BS55" s="58">
        <v>32.915674435018147</v>
      </c>
      <c r="BT55" s="58">
        <v>29.80922179122971</v>
      </c>
      <c r="BU55" s="58">
        <v>49.770270038066968</v>
      </c>
      <c r="BV55" s="58">
        <v>19.374999999496094</v>
      </c>
      <c r="BW55" s="58">
        <v>62.194001751749262</v>
      </c>
      <c r="BX55" s="58">
        <v>100</v>
      </c>
      <c r="BY55" s="58">
        <v>35.628369970966403</v>
      </c>
      <c r="BZ55" s="58">
        <v>78.258569614896317</v>
      </c>
      <c r="CA55" s="58">
        <v>55.529510403439495</v>
      </c>
      <c r="CB55" s="58">
        <v>53.710219920378677</v>
      </c>
      <c r="CC55" s="58">
        <v>65.117078086068275</v>
      </c>
      <c r="CD55" s="58">
        <v>2.1611843219779311E-2</v>
      </c>
      <c r="CE55" s="58">
        <v>80.275721281814739</v>
      </c>
      <c r="CF55" s="58">
        <v>71.299437881308066</v>
      </c>
      <c r="CG55" s="58">
        <v>7.3003776623171817</v>
      </c>
      <c r="CH55" s="58">
        <v>52.658623771224313</v>
      </c>
      <c r="CI55" s="58">
        <v>87.760416666666671</v>
      </c>
      <c r="CJ55" s="58">
        <v>71.68367346938777</v>
      </c>
      <c r="CK55" s="58">
        <v>55.268760622171428</v>
      </c>
      <c r="CL55" s="58">
        <v>44.444444444444443</v>
      </c>
      <c r="CM55" s="58">
        <v>13.055110516507613</v>
      </c>
      <c r="CN55" s="58">
        <v>57.272727272727273</v>
      </c>
      <c r="CO55" s="58">
        <v>77.825618945102264</v>
      </c>
      <c r="CP55" s="58">
        <v>59.541791549365563</v>
      </c>
      <c r="CQ55" s="58">
        <v>52</v>
      </c>
      <c r="CR55" s="58">
        <v>37</v>
      </c>
      <c r="CS55" s="58">
        <v>6</v>
      </c>
      <c r="CT55" s="58">
        <v>61</v>
      </c>
      <c r="CU55" s="58">
        <v>5</v>
      </c>
      <c r="CV55" s="58">
        <v>48</v>
      </c>
      <c r="CW55" s="58">
        <v>80</v>
      </c>
      <c r="CX55" s="58">
        <v>85</v>
      </c>
      <c r="CY55" s="58">
        <v>59</v>
      </c>
      <c r="CZ55" s="58">
        <v>8</v>
      </c>
      <c r="DA55" s="58">
        <v>17</v>
      </c>
      <c r="DB55" s="58">
        <v>28</v>
      </c>
      <c r="DC55" s="58">
        <v>52</v>
      </c>
      <c r="DD55" s="58">
        <v>19</v>
      </c>
      <c r="DE55" s="58">
        <v>5</v>
      </c>
      <c r="DF55" s="58">
        <v>13</v>
      </c>
      <c r="DG55" s="58">
        <v>86</v>
      </c>
      <c r="DH55" s="58">
        <v>39</v>
      </c>
      <c r="DI55" s="58">
        <v>42</v>
      </c>
      <c r="DJ55" s="58">
        <v>84</v>
      </c>
      <c r="DK55" s="58">
        <v>82</v>
      </c>
      <c r="DL55" s="58">
        <v>13</v>
      </c>
      <c r="DM55" s="58">
        <v>40</v>
      </c>
      <c r="DN55" s="58">
        <v>51</v>
      </c>
      <c r="DO55" s="58">
        <v>43</v>
      </c>
      <c r="DP55" s="58">
        <v>4</v>
      </c>
      <c r="DQ55" s="58">
        <v>75</v>
      </c>
      <c r="DR55" s="58">
        <v>61</v>
      </c>
      <c r="DS55" s="58">
        <v>1</v>
      </c>
      <c r="DT55" s="58">
        <v>39</v>
      </c>
      <c r="DU55" s="58">
        <v>60</v>
      </c>
      <c r="DV55" s="58">
        <v>56</v>
      </c>
      <c r="DW55" s="58">
        <v>123</v>
      </c>
      <c r="DX55" s="58">
        <v>37</v>
      </c>
      <c r="DY55" s="58">
        <v>1</v>
      </c>
      <c r="DZ55" s="58">
        <v>106</v>
      </c>
      <c r="EA55" s="58">
        <v>35</v>
      </c>
      <c r="EB55" s="58">
        <v>86</v>
      </c>
      <c r="EC55" s="58">
        <v>87</v>
      </c>
      <c r="ED55" s="58">
        <v>40</v>
      </c>
      <c r="EE55" s="58">
        <v>78</v>
      </c>
      <c r="EF55" s="58">
        <v>8</v>
      </c>
      <c r="EG55" s="58">
        <v>21</v>
      </c>
      <c r="EH55" s="58">
        <v>82</v>
      </c>
      <c r="EI55" s="58">
        <v>79</v>
      </c>
      <c r="EJ55" s="58">
        <v>22</v>
      </c>
      <c r="EK55" s="58">
        <v>59</v>
      </c>
      <c r="EL55" s="58">
        <v>91</v>
      </c>
      <c r="EM55" s="58">
        <v>100</v>
      </c>
      <c r="EN55" s="58">
        <v>72</v>
      </c>
      <c r="EO55" s="58">
        <v>108</v>
      </c>
      <c r="EP55" s="58">
        <v>58</v>
      </c>
      <c r="EQ55" s="58">
        <v>70</v>
      </c>
    </row>
    <row r="56" spans="1:147" x14ac:dyDescent="0.45">
      <c r="A56" t="s">
        <v>28</v>
      </c>
      <c r="B56" s="59" t="s">
        <v>329</v>
      </c>
      <c r="C56" s="37" t="s">
        <v>29</v>
      </c>
      <c r="D56" s="37" t="s">
        <v>880</v>
      </c>
      <c r="E56" s="104">
        <v>122283.21799999999</v>
      </c>
      <c r="F56" s="104">
        <v>2979000</v>
      </c>
      <c r="G56" s="87">
        <v>53.668917355602844</v>
      </c>
      <c r="H56" s="1" t="s">
        <v>181</v>
      </c>
      <c r="I56" s="58">
        <v>50</v>
      </c>
      <c r="J56" s="87">
        <v>51.562683002939139</v>
      </c>
      <c r="K56" s="87">
        <v>45.700006471606002</v>
      </c>
      <c r="L56" s="87">
        <v>64.295585018866149</v>
      </c>
      <c r="M56" s="87">
        <v>53.117394929000078</v>
      </c>
      <c r="N56" s="58">
        <v>36</v>
      </c>
      <c r="O56" s="58">
        <v>47</v>
      </c>
      <c r="P56" s="58">
        <v>56</v>
      </c>
      <c r="Q56" s="58">
        <v>67</v>
      </c>
      <c r="R56" s="58">
        <v>77.568737402321389</v>
      </c>
      <c r="S56" s="58">
        <v>17.676847900005928</v>
      </c>
      <c r="T56" s="58">
        <v>59.442463706490116</v>
      </c>
      <c r="U56" s="58">
        <v>69.563341542949672</v>
      </c>
      <c r="V56" s="58">
        <v>15.640232542924238</v>
      </c>
      <c r="W56" s="58">
        <v>51.896445328944097</v>
      </c>
      <c r="X56" s="58">
        <v>74.475071844002059</v>
      </c>
      <c r="Y56" s="58">
        <v>62.619231480092914</v>
      </c>
      <c r="Z56" s="58">
        <v>55.792451732503473</v>
      </c>
      <c r="AA56" s="58">
        <v>43.732502211431473</v>
      </c>
      <c r="AB56" s="58">
        <v>71.167328679751819</v>
      </c>
      <c r="AC56" s="58">
        <v>44.452353895816955</v>
      </c>
      <c r="AD56" s="58">
        <v>32</v>
      </c>
      <c r="AE56" s="58">
        <v>92</v>
      </c>
      <c r="AF56" s="58">
        <v>13</v>
      </c>
      <c r="AG56" s="58">
        <v>8</v>
      </c>
      <c r="AH56" s="58">
        <v>123</v>
      </c>
      <c r="AI56" s="58">
        <v>32</v>
      </c>
      <c r="AJ56" s="58">
        <v>42</v>
      </c>
      <c r="AK56" s="58">
        <v>64</v>
      </c>
      <c r="AL56" s="58">
        <v>85</v>
      </c>
      <c r="AM56" s="58">
        <v>32</v>
      </c>
      <c r="AN56" s="58">
        <v>45</v>
      </c>
      <c r="AO56" s="58">
        <v>117</v>
      </c>
      <c r="AP56" s="58">
        <v>87.605063002191201</v>
      </c>
      <c r="AQ56" s="58">
        <v>94.658987909809852</v>
      </c>
      <c r="AR56" s="58">
        <v>12.526720573850925</v>
      </c>
      <c r="AS56" s="58">
        <v>100</v>
      </c>
      <c r="AT56" s="58">
        <v>70.621652928076344</v>
      </c>
      <c r="AU56" s="58">
        <v>100</v>
      </c>
      <c r="AV56" s="58">
        <v>4.4056055907705494</v>
      </c>
      <c r="AW56" s="58">
        <v>3.377015675907475</v>
      </c>
      <c r="AX56" s="58">
        <v>61.287100382747376</v>
      </c>
      <c r="AY56" s="58">
        <v>1.6376699505983079</v>
      </c>
      <c r="AZ56" s="58">
        <v>83.097807394421679</v>
      </c>
      <c r="BA56" s="58">
        <v>71</v>
      </c>
      <c r="BB56" s="58" t="s">
        <v>920</v>
      </c>
      <c r="BC56" s="58">
        <v>24.229583725048663</v>
      </c>
      <c r="BD56" s="58">
        <v>9.412160576313358</v>
      </c>
      <c r="BE56" s="58">
        <v>84.379753776997433</v>
      </c>
      <c r="BF56" s="58">
        <v>87.538374895410996</v>
      </c>
      <c r="BG56" s="58">
        <v>96.92307692307692</v>
      </c>
      <c r="BH56" s="58" t="s">
        <v>920</v>
      </c>
      <c r="BI56" s="58" t="s">
        <v>920</v>
      </c>
      <c r="BJ56" s="58">
        <v>2.4478484059868242</v>
      </c>
      <c r="BK56" s="58">
        <v>39.519623288654984</v>
      </c>
      <c r="BL56" s="58">
        <v>4.9532259341309093</v>
      </c>
      <c r="BM56" s="58">
        <v>71.786913054462772</v>
      </c>
      <c r="BN56" s="58">
        <v>40.425836045407451</v>
      </c>
      <c r="BO56" s="58">
        <v>84.725549539265671</v>
      </c>
      <c r="BP56" s="58">
        <v>10.6474826766405</v>
      </c>
      <c r="BQ56" s="58">
        <v>48.950143688004133</v>
      </c>
      <c r="BR56" s="58">
        <v>100</v>
      </c>
      <c r="BS56" s="58" t="s">
        <v>920</v>
      </c>
      <c r="BT56" s="58" t="s">
        <v>920</v>
      </c>
      <c r="BU56" s="58">
        <v>66.678457137051112</v>
      </c>
      <c r="BV56" s="58">
        <v>49.687499999748034</v>
      </c>
      <c r="BW56" s="58">
        <v>73.202618347448066</v>
      </c>
      <c r="BX56" s="58">
        <v>75</v>
      </c>
      <c r="BY56" s="58">
        <v>48.527581916217329</v>
      </c>
      <c r="BZ56" s="58">
        <v>44.932289462547601</v>
      </c>
      <c r="CA56" s="58" t="s">
        <v>920</v>
      </c>
      <c r="CB56" s="58">
        <v>66.652614002459345</v>
      </c>
      <c r="CC56" s="58" t="s">
        <v>920</v>
      </c>
      <c r="CD56" s="58" t="s">
        <v>920</v>
      </c>
      <c r="CE56" s="58">
        <v>55.713425238176207</v>
      </c>
      <c r="CF56" s="58">
        <v>65.490772857967983</v>
      </c>
      <c r="CG56" s="58">
        <v>9.9933085381502593</v>
      </c>
      <c r="CH56" s="58">
        <v>69.571045576407514</v>
      </c>
      <c r="CI56" s="58" t="s">
        <v>920</v>
      </c>
      <c r="CJ56" s="58">
        <v>71.173469387755105</v>
      </c>
      <c r="CK56" s="58">
        <v>74.353754178437157</v>
      </c>
      <c r="CL56" s="58">
        <v>91.111111111111114</v>
      </c>
      <c r="CM56" s="58">
        <v>34.973948704748985</v>
      </c>
      <c r="CN56" s="58">
        <v>6.3636363636363633</v>
      </c>
      <c r="CO56" s="58">
        <v>43.918191603875137</v>
      </c>
      <c r="CP56" s="58">
        <v>93.996166710903523</v>
      </c>
      <c r="CQ56" s="58">
        <v>17</v>
      </c>
      <c r="CR56" s="58">
        <v>21</v>
      </c>
      <c r="CS56" s="58">
        <v>108</v>
      </c>
      <c r="CT56" s="58">
        <v>1</v>
      </c>
      <c r="CU56" s="58">
        <v>67</v>
      </c>
      <c r="CV56" s="58">
        <v>1</v>
      </c>
      <c r="CW56" s="58">
        <v>81</v>
      </c>
      <c r="CX56" s="58">
        <v>68</v>
      </c>
      <c r="CY56" s="58">
        <v>76</v>
      </c>
      <c r="CZ56" s="58">
        <v>89</v>
      </c>
      <c r="DA56" s="58">
        <v>19</v>
      </c>
      <c r="DB56" s="58">
        <v>17</v>
      </c>
      <c r="DC56" s="58" t="s">
        <v>920</v>
      </c>
      <c r="DD56" s="58">
        <v>39</v>
      </c>
      <c r="DE56" s="58">
        <v>81</v>
      </c>
      <c r="DF56" s="58">
        <v>8</v>
      </c>
      <c r="DG56" s="58">
        <v>7</v>
      </c>
      <c r="DH56" s="58">
        <v>28</v>
      </c>
      <c r="DI56" s="58" t="s">
        <v>920</v>
      </c>
      <c r="DJ56" s="58" t="s">
        <v>920</v>
      </c>
      <c r="DK56" s="58">
        <v>77</v>
      </c>
      <c r="DL56" s="58">
        <v>69</v>
      </c>
      <c r="DM56" s="58">
        <v>62</v>
      </c>
      <c r="DN56" s="58">
        <v>58</v>
      </c>
      <c r="DO56" s="58">
        <v>44</v>
      </c>
      <c r="DP56" s="58">
        <v>8</v>
      </c>
      <c r="DQ56" s="58">
        <v>52</v>
      </c>
      <c r="DR56" s="58">
        <v>89</v>
      </c>
      <c r="DS56" s="58">
        <v>1</v>
      </c>
      <c r="DT56" s="58" t="s">
        <v>920</v>
      </c>
      <c r="DU56" s="58" t="s">
        <v>920</v>
      </c>
      <c r="DV56" s="58">
        <v>31</v>
      </c>
      <c r="DW56" s="58">
        <v>97</v>
      </c>
      <c r="DX56" s="58">
        <v>25</v>
      </c>
      <c r="DY56" s="58">
        <v>72</v>
      </c>
      <c r="DZ56" s="58">
        <v>91</v>
      </c>
      <c r="EA56" s="58">
        <v>87</v>
      </c>
      <c r="EB56" s="58" t="s">
        <v>920</v>
      </c>
      <c r="EC56" s="58">
        <v>41</v>
      </c>
      <c r="ED56" s="58" t="s">
        <v>920</v>
      </c>
      <c r="EE56" s="58" t="s">
        <v>920</v>
      </c>
      <c r="EF56" s="58">
        <v>60</v>
      </c>
      <c r="EG56" s="58">
        <v>27</v>
      </c>
      <c r="EH56" s="58">
        <v>75</v>
      </c>
      <c r="EI56" s="58">
        <v>41</v>
      </c>
      <c r="EJ56" s="58" t="s">
        <v>920</v>
      </c>
      <c r="EK56" s="58">
        <v>60</v>
      </c>
      <c r="EL56" s="58">
        <v>40</v>
      </c>
      <c r="EM56" s="58">
        <v>53</v>
      </c>
      <c r="EN56" s="58">
        <v>49</v>
      </c>
      <c r="EO56" s="58">
        <v>126</v>
      </c>
      <c r="EP56" s="58">
        <v>115</v>
      </c>
      <c r="EQ56" s="58">
        <v>12</v>
      </c>
    </row>
    <row r="57" spans="1:147" x14ac:dyDescent="0.45">
      <c r="A57" t="s">
        <v>78</v>
      </c>
      <c r="B57" s="59" t="s">
        <v>331</v>
      </c>
      <c r="C57" s="37" t="s">
        <v>37</v>
      </c>
      <c r="D57" s="37" t="s">
        <v>881</v>
      </c>
      <c r="E57" s="104">
        <v>23309.631000000001</v>
      </c>
      <c r="F57" s="104">
        <v>211141000</v>
      </c>
      <c r="G57" s="87">
        <v>53.643450580246274</v>
      </c>
      <c r="H57" s="1" t="s">
        <v>191</v>
      </c>
      <c r="I57" s="58">
        <v>51</v>
      </c>
      <c r="J57" s="87">
        <v>45.986087027273562</v>
      </c>
      <c r="K57" s="87">
        <v>44.277842478888893</v>
      </c>
      <c r="L57" s="87">
        <v>70.847421640204246</v>
      </c>
      <c r="M57" s="87">
        <v>53.462451174618387</v>
      </c>
      <c r="N57" s="58">
        <v>53</v>
      </c>
      <c r="O57" s="58">
        <v>52</v>
      </c>
      <c r="P57" s="58">
        <v>41</v>
      </c>
      <c r="Q57" s="58">
        <v>63</v>
      </c>
      <c r="R57" s="58">
        <v>66.816806249774046</v>
      </c>
      <c r="S57" s="58">
        <v>37.896522719662194</v>
      </c>
      <c r="T57" s="58">
        <v>33.24493211238444</v>
      </c>
      <c r="U57" s="58">
        <v>46.41896263639039</v>
      </c>
      <c r="V57" s="58">
        <v>41.112837671954942</v>
      </c>
      <c r="W57" s="58">
        <v>45.301727128321346</v>
      </c>
      <c r="X57" s="58">
        <v>68.500537401683616</v>
      </c>
      <c r="Y57" s="58">
        <v>69.83248284088333</v>
      </c>
      <c r="Z57" s="58">
        <v>74.209244678045806</v>
      </c>
      <c r="AA57" s="58">
        <v>29.98559309597071</v>
      </c>
      <c r="AB57" s="58">
        <v>64.241249316856482</v>
      </c>
      <c r="AC57" s="58">
        <v>66.160511111027958</v>
      </c>
      <c r="AD57" s="58">
        <v>71</v>
      </c>
      <c r="AE57" s="58">
        <v>40</v>
      </c>
      <c r="AF57" s="58">
        <v>70</v>
      </c>
      <c r="AG57" s="58">
        <v>83</v>
      </c>
      <c r="AH57" s="58">
        <v>39</v>
      </c>
      <c r="AI57" s="58">
        <v>54</v>
      </c>
      <c r="AJ57" s="58">
        <v>52</v>
      </c>
      <c r="AK57" s="58">
        <v>43</v>
      </c>
      <c r="AL57" s="58">
        <v>40</v>
      </c>
      <c r="AM57" s="58">
        <v>75</v>
      </c>
      <c r="AN57" s="58">
        <v>68</v>
      </c>
      <c r="AO57" s="58">
        <v>58</v>
      </c>
      <c r="AP57" s="58">
        <v>68.827942210103998</v>
      </c>
      <c r="AQ57" s="58">
        <v>58.216356357342882</v>
      </c>
      <c r="AR57" s="58">
        <v>73.524170372117837</v>
      </c>
      <c r="AS57" s="58">
        <v>61.315789473684248</v>
      </c>
      <c r="AT57" s="58">
        <v>79.209000044867977</v>
      </c>
      <c r="AU57" s="58">
        <v>59.807579040527301</v>
      </c>
      <c r="AV57" s="58">
        <v>12.442017110840725</v>
      </c>
      <c r="AW57" s="58">
        <v>6.7575303569687506</v>
      </c>
      <c r="AX57" s="58">
        <v>70.567086275912416</v>
      </c>
      <c r="AY57" s="58">
        <v>61.8194571349269</v>
      </c>
      <c r="AZ57" s="58">
        <v>62.322176478234411</v>
      </c>
      <c r="BA57" s="58">
        <v>39</v>
      </c>
      <c r="BB57" s="58">
        <v>2.1887381615625028</v>
      </c>
      <c r="BC57" s="58">
        <v>29.468813809740862</v>
      </c>
      <c r="BD57" s="58">
        <v>42.398830411394748</v>
      </c>
      <c r="BE57" s="58">
        <v>26.305087636649272</v>
      </c>
      <c r="BF57" s="58">
        <v>71.390106973591642</v>
      </c>
      <c r="BG57" s="58">
        <v>92.000788160316304</v>
      </c>
      <c r="BH57" s="58">
        <v>0</v>
      </c>
      <c r="BI57" s="58">
        <v>51.221075892674449</v>
      </c>
      <c r="BJ57" s="58">
        <v>7.664946056884804</v>
      </c>
      <c r="BK57" s="58">
        <v>57.709987114093764</v>
      </c>
      <c r="BL57" s="58">
        <v>47.855341624166748</v>
      </c>
      <c r="BM57" s="58">
        <v>88.728480167466699</v>
      </c>
      <c r="BN57" s="58">
        <v>46.333062297696202</v>
      </c>
      <c r="BO57" s="58">
        <v>28.169003507138189</v>
      </c>
      <c r="BP57" s="58">
        <v>17.97636254098428</v>
      </c>
      <c r="BQ57" s="58">
        <v>71.233708775494264</v>
      </c>
      <c r="BR57" s="58">
        <v>95.848576576726003</v>
      </c>
      <c r="BS57" s="58">
        <v>59.200348282835314</v>
      </c>
      <c r="BT57" s="58">
        <v>47.719515971678881</v>
      </c>
      <c r="BU57" s="58">
        <v>34.809127429021281</v>
      </c>
      <c r="BV57" s="58">
        <v>92.499999999953118</v>
      </c>
      <c r="BW57" s="58">
        <v>45.494929247445661</v>
      </c>
      <c r="BX57" s="58">
        <v>100</v>
      </c>
      <c r="BY57" s="58">
        <v>76.358357527996674</v>
      </c>
      <c r="BZ57" s="58">
        <v>85.505713076597544</v>
      </c>
      <c r="CA57" s="58">
        <v>76.671317007443491</v>
      </c>
      <c r="CB57" s="58">
        <v>64.897051629866283</v>
      </c>
      <c r="CC57" s="58">
        <v>69.762896998275878</v>
      </c>
      <c r="CD57" s="58">
        <v>1.0471942456473655</v>
      </c>
      <c r="CE57" s="58">
        <v>80.36453126937046</v>
      </c>
      <c r="CF57" s="58">
        <v>26.881645767381961</v>
      </c>
      <c r="CG57" s="58">
        <v>11.649001101483055</v>
      </c>
      <c r="CH57" s="58">
        <v>72.252010723860593</v>
      </c>
      <c r="CI57" s="58">
        <v>76.302083333333329</v>
      </c>
      <c r="CJ57" s="58">
        <v>29.081632653061234</v>
      </c>
      <c r="CK57" s="58">
        <v>59.257675133689823</v>
      </c>
      <c r="CL57" s="58">
        <v>100</v>
      </c>
      <c r="CM57" s="58">
        <v>24.796023472860217</v>
      </c>
      <c r="CN57" s="58">
        <v>78.181818181818187</v>
      </c>
      <c r="CO57" s="58">
        <v>74.811625403659846</v>
      </c>
      <c r="CP57" s="58">
        <v>73.705154771547214</v>
      </c>
      <c r="CQ57" s="58">
        <v>61</v>
      </c>
      <c r="CR57" s="58">
        <v>75</v>
      </c>
      <c r="CS57" s="58">
        <v>3</v>
      </c>
      <c r="CT57" s="58">
        <v>107</v>
      </c>
      <c r="CU57" s="58">
        <v>26</v>
      </c>
      <c r="CV57" s="58">
        <v>59</v>
      </c>
      <c r="CW57" s="58">
        <v>53</v>
      </c>
      <c r="CX57" s="58">
        <v>51</v>
      </c>
      <c r="CY57" s="58">
        <v>33</v>
      </c>
      <c r="CZ57" s="58">
        <v>10</v>
      </c>
      <c r="DA57" s="58">
        <v>60</v>
      </c>
      <c r="DB57" s="58">
        <v>64</v>
      </c>
      <c r="DC57" s="58">
        <v>47</v>
      </c>
      <c r="DD57" s="58">
        <v>26</v>
      </c>
      <c r="DE57" s="58">
        <v>19</v>
      </c>
      <c r="DF57" s="58">
        <v>104</v>
      </c>
      <c r="DG57" s="58">
        <v>60</v>
      </c>
      <c r="DH57" s="58">
        <v>51</v>
      </c>
      <c r="DI57" s="58">
        <v>47</v>
      </c>
      <c r="DJ57" s="58">
        <v>67</v>
      </c>
      <c r="DK57" s="58">
        <v>55</v>
      </c>
      <c r="DL57" s="58">
        <v>18</v>
      </c>
      <c r="DM57" s="58">
        <v>9</v>
      </c>
      <c r="DN57" s="58">
        <v>21</v>
      </c>
      <c r="DO57" s="58">
        <v>37</v>
      </c>
      <c r="DP57" s="58">
        <v>81</v>
      </c>
      <c r="DQ57" s="58">
        <v>36</v>
      </c>
      <c r="DR57" s="58">
        <v>50</v>
      </c>
      <c r="DS57" s="58">
        <v>43</v>
      </c>
      <c r="DT57" s="58">
        <v>16</v>
      </c>
      <c r="DU57" s="58">
        <v>47</v>
      </c>
      <c r="DV57" s="58">
        <v>88</v>
      </c>
      <c r="DW57" s="58">
        <v>11</v>
      </c>
      <c r="DX57" s="58">
        <v>59</v>
      </c>
      <c r="DY57" s="58">
        <v>1</v>
      </c>
      <c r="DZ57" s="58">
        <v>38</v>
      </c>
      <c r="EA57" s="58">
        <v>22</v>
      </c>
      <c r="EB57" s="58">
        <v>58</v>
      </c>
      <c r="EC57" s="58">
        <v>55</v>
      </c>
      <c r="ED57" s="58">
        <v>30</v>
      </c>
      <c r="EE57" s="58">
        <v>53</v>
      </c>
      <c r="EF57" s="58">
        <v>7</v>
      </c>
      <c r="EG57" s="58">
        <v>83</v>
      </c>
      <c r="EH57" s="58">
        <v>68</v>
      </c>
      <c r="EI57" s="58">
        <v>33</v>
      </c>
      <c r="EJ57" s="58">
        <v>55</v>
      </c>
      <c r="EK57" s="58">
        <v>109</v>
      </c>
      <c r="EL57" s="58">
        <v>82</v>
      </c>
      <c r="EM57" s="58">
        <v>1</v>
      </c>
      <c r="EN57" s="58">
        <v>62</v>
      </c>
      <c r="EO57" s="58">
        <v>62</v>
      </c>
      <c r="EP57" s="58">
        <v>66</v>
      </c>
      <c r="EQ57" s="58">
        <v>47</v>
      </c>
    </row>
    <row r="58" spans="1:147" x14ac:dyDescent="0.45">
      <c r="A58" t="s">
        <v>73</v>
      </c>
      <c r="B58" s="59" t="s">
        <v>342</v>
      </c>
      <c r="C58" s="37" t="s">
        <v>10</v>
      </c>
      <c r="D58" s="37" t="s">
        <v>880</v>
      </c>
      <c r="E58" s="104">
        <v>48847.461000000003</v>
      </c>
      <c r="F58" s="104">
        <v>19118000</v>
      </c>
      <c r="G58" s="87">
        <v>53.162763456498382</v>
      </c>
      <c r="H58" s="1" t="s">
        <v>186</v>
      </c>
      <c r="I58" s="58">
        <v>52</v>
      </c>
      <c r="J58" s="87">
        <v>43.997183987596138</v>
      </c>
      <c r="K58" s="87">
        <v>39.188016583079893</v>
      </c>
      <c r="L58" s="87">
        <v>65.669649627988505</v>
      </c>
      <c r="M58" s="87">
        <v>63.796203627328985</v>
      </c>
      <c r="N58" s="58">
        <v>61</v>
      </c>
      <c r="O58" s="58">
        <v>71</v>
      </c>
      <c r="P58" s="58">
        <v>52</v>
      </c>
      <c r="Q58" s="58">
        <v>32</v>
      </c>
      <c r="R58" s="58">
        <v>74.723234432590644</v>
      </c>
      <c r="S58" s="58">
        <v>27.164904362576785</v>
      </c>
      <c r="T58" s="58">
        <v>30.103413167620964</v>
      </c>
      <c r="U58" s="58">
        <v>54.204816276306062</v>
      </c>
      <c r="V58" s="58">
        <v>26.694460695193612</v>
      </c>
      <c r="W58" s="58">
        <v>36.664772777739998</v>
      </c>
      <c r="X58" s="58">
        <v>75.780893397157442</v>
      </c>
      <c r="Y58" s="58">
        <v>66.989762741152575</v>
      </c>
      <c r="Z58" s="58">
        <v>54.238292745655478</v>
      </c>
      <c r="AA58" s="58">
        <v>44.533086714374214</v>
      </c>
      <c r="AB58" s="58">
        <v>75.922409947098572</v>
      </c>
      <c r="AC58" s="58">
        <v>70.933114220514184</v>
      </c>
      <c r="AD58" s="58">
        <v>45</v>
      </c>
      <c r="AE58" s="58">
        <v>57</v>
      </c>
      <c r="AF58" s="58">
        <v>85</v>
      </c>
      <c r="AG58" s="58">
        <v>52</v>
      </c>
      <c r="AH58" s="58">
        <v>78</v>
      </c>
      <c r="AI58" s="58">
        <v>76</v>
      </c>
      <c r="AJ58" s="58">
        <v>39</v>
      </c>
      <c r="AK58" s="58">
        <v>51</v>
      </c>
      <c r="AL58" s="58">
        <v>87</v>
      </c>
      <c r="AM58" s="58">
        <v>28</v>
      </c>
      <c r="AN58" s="58">
        <v>30</v>
      </c>
      <c r="AO58" s="58">
        <v>47</v>
      </c>
      <c r="AP58" s="58">
        <v>94.040210384276193</v>
      </c>
      <c r="AQ58" s="58">
        <v>64.522800532906558</v>
      </c>
      <c r="AR58" s="58">
        <v>47.592666624257276</v>
      </c>
      <c r="AS58" s="58">
        <v>98.10526315789474</v>
      </c>
      <c r="AT58" s="58">
        <v>69.355231463618438</v>
      </c>
      <c r="AU58" s="58" t="s">
        <v>920</v>
      </c>
      <c r="AV58" s="58">
        <v>19.498337450124279</v>
      </c>
      <c r="AW58" s="58">
        <v>9.6998312673714153</v>
      </c>
      <c r="AX58" s="58">
        <v>68.545442181798506</v>
      </c>
      <c r="AY58" s="58">
        <v>10.916006551012945</v>
      </c>
      <c r="AZ58" s="58">
        <v>66.123375331145439</v>
      </c>
      <c r="BA58" s="58">
        <v>31.25</v>
      </c>
      <c r="BB58" s="58">
        <v>5.5481157280311324</v>
      </c>
      <c r="BC58" s="58">
        <v>17.492161611307289</v>
      </c>
      <c r="BD58" s="58">
        <v>23.240658492237507</v>
      </c>
      <c r="BE58" s="58">
        <v>57.51139343940951</v>
      </c>
      <c r="BF58" s="58">
        <v>72.700394011733309</v>
      </c>
      <c r="BG58" s="58">
        <v>98.461538461538453</v>
      </c>
      <c r="BH58" s="58">
        <v>19.110096976611519</v>
      </c>
      <c r="BI58" s="58">
        <v>44.952007238699757</v>
      </c>
      <c r="BJ58" s="58">
        <v>5.3120295903953059</v>
      </c>
      <c r="BK58" s="58">
        <v>44.027672013871481</v>
      </c>
      <c r="BL58" s="58">
        <v>12.486133937807912</v>
      </c>
      <c r="BM58" s="58">
        <v>58.466572827564633</v>
      </c>
      <c r="BN58" s="58">
        <v>40.303963401860379</v>
      </c>
      <c r="BO58" s="58">
        <v>39.827922427410243</v>
      </c>
      <c r="BP58" s="58">
        <v>8.0606324541247574</v>
      </c>
      <c r="BQ58" s="58">
        <v>82.24387530068185</v>
      </c>
      <c r="BR58" s="58">
        <v>89.930023234242213</v>
      </c>
      <c r="BS58" s="58">
        <v>86.629645542324639</v>
      </c>
      <c r="BT58" s="58">
        <v>44.320029511381044</v>
      </c>
      <c r="BU58" s="58">
        <v>50.208747856818214</v>
      </c>
      <c r="BV58" s="58">
        <v>90.624999999941409</v>
      </c>
      <c r="BW58" s="58">
        <v>48.397521261695061</v>
      </c>
      <c r="BX58" s="58">
        <v>75</v>
      </c>
      <c r="BY58" s="58">
        <v>70.717544587308169</v>
      </c>
      <c r="BZ58" s="58">
        <v>66.663140076174358</v>
      </c>
      <c r="CA58" s="58">
        <v>38.452585417713586</v>
      </c>
      <c r="CB58" s="58">
        <v>66.372606390579733</v>
      </c>
      <c r="CC58" s="58">
        <v>45.464839098154251</v>
      </c>
      <c r="CD58" s="58">
        <v>2.2561794369846382</v>
      </c>
      <c r="CE58" s="58">
        <v>64.546276885256901</v>
      </c>
      <c r="CF58" s="58">
        <v>55.275109914561746</v>
      </c>
      <c r="CG58" s="58">
        <v>56.054780620693577</v>
      </c>
      <c r="CH58" s="58">
        <v>73.793565683646108</v>
      </c>
      <c r="CI58" s="58">
        <v>78.515625</v>
      </c>
      <c r="CJ58" s="58">
        <v>84.693877551020407</v>
      </c>
      <c r="CK58" s="58">
        <v>66.222200764278767</v>
      </c>
      <c r="CL58" s="58">
        <v>95.555555555555557</v>
      </c>
      <c r="CM58" s="58">
        <v>37.451268795668149</v>
      </c>
      <c r="CN58" s="58">
        <v>86.36363636363636</v>
      </c>
      <c r="CO58" s="58">
        <v>90.635091496232505</v>
      </c>
      <c r="CP58" s="58">
        <v>43.009364897483906</v>
      </c>
      <c r="CQ58" s="58">
        <v>7</v>
      </c>
      <c r="CR58" s="58">
        <v>63</v>
      </c>
      <c r="CS58" s="58">
        <v>25</v>
      </c>
      <c r="CT58" s="58">
        <v>52</v>
      </c>
      <c r="CU58" s="58">
        <v>77</v>
      </c>
      <c r="CV58" s="58" t="s">
        <v>920</v>
      </c>
      <c r="CW58" s="58">
        <v>44</v>
      </c>
      <c r="CX58" s="58">
        <v>45</v>
      </c>
      <c r="CY58" s="58">
        <v>48</v>
      </c>
      <c r="CZ58" s="58">
        <v>47</v>
      </c>
      <c r="DA58" s="58">
        <v>47</v>
      </c>
      <c r="DB58" s="58">
        <v>89</v>
      </c>
      <c r="DC58" s="58">
        <v>38</v>
      </c>
      <c r="DD58" s="58">
        <v>64</v>
      </c>
      <c r="DE58" s="58">
        <v>43</v>
      </c>
      <c r="DF58" s="58">
        <v>50</v>
      </c>
      <c r="DG58" s="58">
        <v>56</v>
      </c>
      <c r="DH58" s="58">
        <v>16</v>
      </c>
      <c r="DI58" s="58">
        <v>35</v>
      </c>
      <c r="DJ58" s="58">
        <v>71</v>
      </c>
      <c r="DK58" s="58">
        <v>63</v>
      </c>
      <c r="DL58" s="58">
        <v>56</v>
      </c>
      <c r="DM58" s="58">
        <v>49</v>
      </c>
      <c r="DN58" s="58">
        <v>81</v>
      </c>
      <c r="DO58" s="58">
        <v>46</v>
      </c>
      <c r="DP58" s="58">
        <v>53</v>
      </c>
      <c r="DQ58" s="58">
        <v>62</v>
      </c>
      <c r="DR58" s="58">
        <v>35</v>
      </c>
      <c r="DS58" s="58">
        <v>61</v>
      </c>
      <c r="DT58" s="58">
        <v>2</v>
      </c>
      <c r="DU58" s="58">
        <v>50</v>
      </c>
      <c r="DV58" s="58">
        <v>54</v>
      </c>
      <c r="DW58" s="58">
        <v>16</v>
      </c>
      <c r="DX58" s="58">
        <v>54</v>
      </c>
      <c r="DY58" s="58">
        <v>72</v>
      </c>
      <c r="DZ58" s="58">
        <v>47</v>
      </c>
      <c r="EA58" s="58">
        <v>58</v>
      </c>
      <c r="EB58" s="58">
        <v>108</v>
      </c>
      <c r="EC58" s="58">
        <v>44</v>
      </c>
      <c r="ED58" s="58">
        <v>56</v>
      </c>
      <c r="EE58" s="58">
        <v>45</v>
      </c>
      <c r="EF58" s="58">
        <v>33</v>
      </c>
      <c r="EG58" s="58">
        <v>41</v>
      </c>
      <c r="EH58" s="58">
        <v>10</v>
      </c>
      <c r="EI58" s="58">
        <v>32</v>
      </c>
      <c r="EJ58" s="58">
        <v>51</v>
      </c>
      <c r="EK58" s="58">
        <v>22</v>
      </c>
      <c r="EL58" s="58">
        <v>65</v>
      </c>
      <c r="EM58" s="58">
        <v>46</v>
      </c>
      <c r="EN58" s="58">
        <v>45</v>
      </c>
      <c r="EO58" s="58">
        <v>40</v>
      </c>
      <c r="EP58" s="58">
        <v>13</v>
      </c>
      <c r="EQ58" s="58">
        <v>92</v>
      </c>
    </row>
    <row r="59" spans="1:147" x14ac:dyDescent="0.45">
      <c r="A59" t="s">
        <v>71</v>
      </c>
      <c r="B59" s="59" t="s">
        <v>334</v>
      </c>
      <c r="C59" s="37" t="s">
        <v>10</v>
      </c>
      <c r="D59" s="37" t="s">
        <v>880</v>
      </c>
      <c r="E59" s="104">
        <v>51453.311000000002</v>
      </c>
      <c r="F59" s="104">
        <v>3896000</v>
      </c>
      <c r="G59" s="87">
        <v>53.075752776588878</v>
      </c>
      <c r="H59" s="1" t="s">
        <v>180</v>
      </c>
      <c r="I59" s="58">
        <v>53</v>
      </c>
      <c r="J59" s="87">
        <v>41.818628283915821</v>
      </c>
      <c r="K59" s="87">
        <v>41.669150528493795</v>
      </c>
      <c r="L59" s="87">
        <v>74.565334334989544</v>
      </c>
      <c r="M59" s="87">
        <v>54.249897958956353</v>
      </c>
      <c r="N59" s="58">
        <v>71</v>
      </c>
      <c r="O59" s="58">
        <v>63</v>
      </c>
      <c r="P59" s="58">
        <v>35</v>
      </c>
      <c r="Q59" s="58">
        <v>61</v>
      </c>
      <c r="R59" s="58">
        <v>73.501331036919538</v>
      </c>
      <c r="S59" s="58">
        <v>29.456631114256329</v>
      </c>
      <c r="T59" s="58">
        <v>22.497922700571593</v>
      </c>
      <c r="U59" s="58">
        <v>49.980992646764271</v>
      </c>
      <c r="V59" s="58">
        <v>32.328814279466854</v>
      </c>
      <c r="W59" s="58">
        <v>42.697644659250273</v>
      </c>
      <c r="X59" s="58">
        <v>72.120774440261584</v>
      </c>
      <c r="Y59" s="58">
        <v>73.660932601146712</v>
      </c>
      <c r="Z59" s="58">
        <v>77.914295963560349</v>
      </c>
      <c r="AA59" s="58">
        <v>28.027130621992811</v>
      </c>
      <c r="AB59" s="58">
        <v>56.316193926157332</v>
      </c>
      <c r="AC59" s="58">
        <v>78.406369328718924</v>
      </c>
      <c r="AD59" s="58">
        <v>50</v>
      </c>
      <c r="AE59" s="58">
        <v>52</v>
      </c>
      <c r="AF59" s="58">
        <v>104</v>
      </c>
      <c r="AG59" s="58">
        <v>70</v>
      </c>
      <c r="AH59" s="58">
        <v>57</v>
      </c>
      <c r="AI59" s="58">
        <v>62</v>
      </c>
      <c r="AJ59" s="58">
        <v>46</v>
      </c>
      <c r="AK59" s="58">
        <v>34</v>
      </c>
      <c r="AL59" s="58">
        <v>30</v>
      </c>
      <c r="AM59" s="58">
        <v>84</v>
      </c>
      <c r="AN59" s="58">
        <v>89</v>
      </c>
      <c r="AO59" s="58">
        <v>32</v>
      </c>
      <c r="AP59" s="58">
        <v>88.692989937627701</v>
      </c>
      <c r="AQ59" s="58">
        <v>90.258773843598277</v>
      </c>
      <c r="AR59" s="58">
        <v>18.660022009272712</v>
      </c>
      <c r="AS59" s="58">
        <v>98.894736842105289</v>
      </c>
      <c r="AT59" s="58">
        <v>71.000132551993715</v>
      </c>
      <c r="AU59" s="58" t="s">
        <v>920</v>
      </c>
      <c r="AV59" s="58">
        <v>30.427541632919702</v>
      </c>
      <c r="AW59" s="58">
        <v>16.694241435398581</v>
      </c>
      <c r="AX59" s="58">
        <v>67.15027320896894</v>
      </c>
      <c r="AY59" s="58">
        <v>3.5544681797380906</v>
      </c>
      <c r="AZ59" s="58">
        <v>58.933938856430977</v>
      </c>
      <c r="BA59" s="58">
        <v>25.249999999999993</v>
      </c>
      <c r="BB59" s="58">
        <v>2.5152336995830091</v>
      </c>
      <c r="BC59" s="58">
        <v>3.2925182462723934</v>
      </c>
      <c r="BD59" s="58">
        <v>15.609106499627185</v>
      </c>
      <c r="BE59" s="58">
        <v>38.157395416048715</v>
      </c>
      <c r="BF59" s="58">
        <v>75.675299090755004</v>
      </c>
      <c r="BG59" s="58">
        <v>99.1283076923077</v>
      </c>
      <c r="BH59" s="58">
        <v>21.334854535082716</v>
      </c>
      <c r="BI59" s="58">
        <v>66.957859127263802</v>
      </c>
      <c r="BJ59" s="58">
        <v>8.3444601998303494</v>
      </c>
      <c r="BK59" s="58">
        <v>43.499692234578575</v>
      </c>
      <c r="BL59" s="58">
        <v>10.513245556194702</v>
      </c>
      <c r="BM59" s="58">
        <v>84.777613358838323</v>
      </c>
      <c r="BN59" s="58">
        <v>37.708338636671108</v>
      </c>
      <c r="BO59" s="58">
        <v>26.505553594628893</v>
      </c>
      <c r="BP59" s="58">
        <v>21.799073046862748</v>
      </c>
      <c r="BQ59" s="58">
        <v>82.885050644634489</v>
      </c>
      <c r="BR59" s="58">
        <v>85.919561927623448</v>
      </c>
      <c r="BS59" s="58">
        <v>69.884245355411252</v>
      </c>
      <c r="BT59" s="58">
        <v>49.794239833377134</v>
      </c>
      <c r="BU59" s="58">
        <v>58.341740395141947</v>
      </c>
      <c r="BV59" s="58">
        <v>88.749999999929685</v>
      </c>
      <c r="BW59" s="58">
        <v>42.67704538129658</v>
      </c>
      <c r="BX59" s="58">
        <v>100</v>
      </c>
      <c r="BY59" s="58">
        <v>78.535877229365397</v>
      </c>
      <c r="BZ59" s="58">
        <v>91.303427845958524</v>
      </c>
      <c r="CA59" s="58">
        <v>85.275702562234315</v>
      </c>
      <c r="CB59" s="58">
        <v>56.641853059847293</v>
      </c>
      <c r="CC59" s="58">
        <v>78.436200386201293</v>
      </c>
      <c r="CD59" s="58">
        <v>1.823685099892798</v>
      </c>
      <c r="CE59" s="58">
        <v>49.484949759426534</v>
      </c>
      <c r="CF59" s="58">
        <v>31.361551838958196</v>
      </c>
      <c r="CG59" s="58">
        <v>29.438335789693703</v>
      </c>
      <c r="CH59" s="58">
        <v>58.310991957104562</v>
      </c>
      <c r="CI59" s="58">
        <v>30.46875</v>
      </c>
      <c r="CJ59" s="58">
        <v>83.928571428571431</v>
      </c>
      <c r="CK59" s="58">
        <v>76.409108214163453</v>
      </c>
      <c r="CL59" s="58">
        <v>100</v>
      </c>
      <c r="CM59" s="58">
        <v>56.424218978712872</v>
      </c>
      <c r="CN59" s="58">
        <v>90.909090909090907</v>
      </c>
      <c r="CO59" s="58">
        <v>85.2529601722282</v>
      </c>
      <c r="CP59" s="58">
        <v>62.078414509687406</v>
      </c>
      <c r="CQ59" s="58">
        <v>12</v>
      </c>
      <c r="CR59" s="58">
        <v>30</v>
      </c>
      <c r="CS59" s="58">
        <v>94</v>
      </c>
      <c r="CT59" s="58">
        <v>46</v>
      </c>
      <c r="CU59" s="58">
        <v>66</v>
      </c>
      <c r="CV59" s="58" t="s">
        <v>920</v>
      </c>
      <c r="CW59" s="58">
        <v>33</v>
      </c>
      <c r="CX59" s="58">
        <v>38</v>
      </c>
      <c r="CY59" s="58">
        <v>55</v>
      </c>
      <c r="CZ59" s="58">
        <v>74</v>
      </c>
      <c r="DA59" s="58">
        <v>68</v>
      </c>
      <c r="DB59" s="58">
        <v>105</v>
      </c>
      <c r="DC59" s="58">
        <v>45</v>
      </c>
      <c r="DD59" s="58">
        <v>107</v>
      </c>
      <c r="DE59" s="58">
        <v>64</v>
      </c>
      <c r="DF59" s="58">
        <v>87</v>
      </c>
      <c r="DG59" s="58">
        <v>47</v>
      </c>
      <c r="DH59" s="58">
        <v>13</v>
      </c>
      <c r="DI59" s="58">
        <v>34</v>
      </c>
      <c r="DJ59" s="58">
        <v>42</v>
      </c>
      <c r="DK59" s="58">
        <v>53</v>
      </c>
      <c r="DL59" s="58">
        <v>59</v>
      </c>
      <c r="DM59" s="58">
        <v>51</v>
      </c>
      <c r="DN59" s="58">
        <v>31</v>
      </c>
      <c r="DO59" s="58">
        <v>48</v>
      </c>
      <c r="DP59" s="58">
        <v>83</v>
      </c>
      <c r="DQ59" s="58">
        <v>32</v>
      </c>
      <c r="DR59" s="58">
        <v>32</v>
      </c>
      <c r="DS59" s="58">
        <v>68</v>
      </c>
      <c r="DT59" s="58">
        <v>8</v>
      </c>
      <c r="DU59" s="58">
        <v>45</v>
      </c>
      <c r="DV59" s="58">
        <v>43</v>
      </c>
      <c r="DW59" s="58">
        <v>22</v>
      </c>
      <c r="DX59" s="58">
        <v>69</v>
      </c>
      <c r="DY59" s="58">
        <v>1</v>
      </c>
      <c r="DZ59" s="58">
        <v>30</v>
      </c>
      <c r="EA59" s="58">
        <v>15</v>
      </c>
      <c r="EB59" s="58">
        <v>38</v>
      </c>
      <c r="EC59" s="58">
        <v>82</v>
      </c>
      <c r="ED59" s="58">
        <v>17</v>
      </c>
      <c r="EE59" s="58">
        <v>48</v>
      </c>
      <c r="EF59" s="58">
        <v>75</v>
      </c>
      <c r="EG59" s="58">
        <v>74</v>
      </c>
      <c r="EH59" s="58">
        <v>29</v>
      </c>
      <c r="EI59" s="58">
        <v>70</v>
      </c>
      <c r="EJ59" s="58">
        <v>117</v>
      </c>
      <c r="EK59" s="58">
        <v>25</v>
      </c>
      <c r="EL59" s="58">
        <v>34</v>
      </c>
      <c r="EM59" s="58">
        <v>1</v>
      </c>
      <c r="EN59" s="58">
        <v>34</v>
      </c>
      <c r="EO59" s="58">
        <v>28</v>
      </c>
      <c r="EP59" s="58">
        <v>33</v>
      </c>
      <c r="EQ59" s="58">
        <v>66</v>
      </c>
    </row>
    <row r="60" spans="1:147" x14ac:dyDescent="0.45">
      <c r="A60" t="s">
        <v>72</v>
      </c>
      <c r="B60" s="59" t="s">
        <v>339</v>
      </c>
      <c r="C60" s="37" t="s">
        <v>10</v>
      </c>
      <c r="D60" s="37" t="s">
        <v>880</v>
      </c>
      <c r="E60" s="104">
        <v>44985.381999999998</v>
      </c>
      <c r="F60" s="104">
        <v>10243000</v>
      </c>
      <c r="G60" s="87">
        <v>52.975226050180396</v>
      </c>
      <c r="H60" s="1" t="s">
        <v>185</v>
      </c>
      <c r="I60" s="58">
        <v>54</v>
      </c>
      <c r="J60" s="87">
        <v>46.098928860493395</v>
      </c>
      <c r="K60" s="87">
        <v>41.163708769403549</v>
      </c>
      <c r="L60" s="87">
        <v>72.522716445613796</v>
      </c>
      <c r="M60" s="87">
        <v>52.115550125210866</v>
      </c>
      <c r="N60" s="58">
        <v>52</v>
      </c>
      <c r="O60" s="58">
        <v>65</v>
      </c>
      <c r="P60" s="58">
        <v>39</v>
      </c>
      <c r="Q60" s="58">
        <v>75</v>
      </c>
      <c r="R60" s="58">
        <v>72.952028766501712</v>
      </c>
      <c r="S60" s="58">
        <v>31.737994764611397</v>
      </c>
      <c r="T60" s="58">
        <v>33.606763050367057</v>
      </c>
      <c r="U60" s="58">
        <v>46.08097545237613</v>
      </c>
      <c r="V60" s="58">
        <v>31.307579830987493</v>
      </c>
      <c r="W60" s="58">
        <v>46.10257102484703</v>
      </c>
      <c r="X60" s="58">
        <v>81.646380186706111</v>
      </c>
      <c r="Y60" s="58">
        <v>65.629901112361978</v>
      </c>
      <c r="Z60" s="58">
        <v>70.291868037773256</v>
      </c>
      <c r="AA60" s="58">
        <v>28.475718366547412</v>
      </c>
      <c r="AB60" s="58">
        <v>51.659501340219713</v>
      </c>
      <c r="AC60" s="58">
        <v>76.211430668865489</v>
      </c>
      <c r="AD60" s="58">
        <v>53</v>
      </c>
      <c r="AE60" s="58">
        <v>48</v>
      </c>
      <c r="AF60" s="58">
        <v>69</v>
      </c>
      <c r="AG60" s="58">
        <v>85</v>
      </c>
      <c r="AH60" s="58">
        <v>61</v>
      </c>
      <c r="AI60" s="58">
        <v>48</v>
      </c>
      <c r="AJ60" s="58">
        <v>29</v>
      </c>
      <c r="AK60" s="58">
        <v>54</v>
      </c>
      <c r="AL60" s="58">
        <v>51</v>
      </c>
      <c r="AM60" s="58">
        <v>82</v>
      </c>
      <c r="AN60" s="58">
        <v>94</v>
      </c>
      <c r="AO60" s="58">
        <v>37</v>
      </c>
      <c r="AP60" s="58">
        <v>75.859061324259301</v>
      </c>
      <c r="AQ60" s="58">
        <v>89.582011891052232</v>
      </c>
      <c r="AR60" s="58">
        <v>22.776307529155353</v>
      </c>
      <c r="AS60" s="58">
        <v>99.473684210526343</v>
      </c>
      <c r="AT60" s="58">
        <v>77.069078877515352</v>
      </c>
      <c r="AU60" s="58" t="s">
        <v>920</v>
      </c>
      <c r="AV60" s="58">
        <v>24.651491218488459</v>
      </c>
      <c r="AW60" s="58">
        <v>21.969720451531934</v>
      </c>
      <c r="AX60" s="58">
        <v>60.350344744358253</v>
      </c>
      <c r="AY60" s="58">
        <v>19.980422644066934</v>
      </c>
      <c r="AZ60" s="58">
        <v>60.142684432051773</v>
      </c>
      <c r="BA60" s="58">
        <v>23.5</v>
      </c>
      <c r="BB60" s="58">
        <v>4.2258075196253149</v>
      </c>
      <c r="BC60" s="58">
        <v>46.558560249791149</v>
      </c>
      <c r="BD60" s="58">
        <v>18.778405949066133</v>
      </c>
      <c r="BE60" s="58">
        <v>53.594698709303977</v>
      </c>
      <c r="BF60" s="58">
        <v>77.495577527631852</v>
      </c>
      <c r="BG60" s="58" t="s">
        <v>920</v>
      </c>
      <c r="BH60" s="58">
        <v>34.455219623502565</v>
      </c>
      <c r="BI60" s="58">
        <v>57.509582638033173</v>
      </c>
      <c r="BJ60" s="58">
        <v>8.8528658381762249</v>
      </c>
      <c r="BK60" s="58">
        <v>44.214563820877302</v>
      </c>
      <c r="BL60" s="58">
        <v>14.653307026863274</v>
      </c>
      <c r="BM60" s="58">
        <v>77.68674582837069</v>
      </c>
      <c r="BN60" s="58">
        <v>43.609020692185993</v>
      </c>
      <c r="BO60" s="58">
        <v>39.650187372800531</v>
      </c>
      <c r="BP60" s="58">
        <v>23.464330206030883</v>
      </c>
      <c r="BQ60" s="58">
        <v>77.805036467309549</v>
      </c>
      <c r="BR60" s="58">
        <v>96.625465142956386</v>
      </c>
      <c r="BS60" s="58" t="s">
        <v>920</v>
      </c>
      <c r="BT60" s="58">
        <v>70.508638949852383</v>
      </c>
      <c r="BU60" s="58">
        <v>56.716017297834206</v>
      </c>
      <c r="BV60" s="58">
        <v>83.124999999894527</v>
      </c>
      <c r="BW60" s="58">
        <v>43.213092162878347</v>
      </c>
      <c r="BX60" s="58">
        <v>75</v>
      </c>
      <c r="BY60" s="58">
        <v>70.095396101202823</v>
      </c>
      <c r="BZ60" s="58">
        <v>65.213711383834124</v>
      </c>
      <c r="CA60" s="58">
        <v>84.61817626735845</v>
      </c>
      <c r="CB60" s="58">
        <v>61.043716462127193</v>
      </c>
      <c r="CC60" s="58" t="s">
        <v>920</v>
      </c>
      <c r="CD60" s="58">
        <v>3.8307665481879707</v>
      </c>
      <c r="CE60" s="58">
        <v>57.680886103700793</v>
      </c>
      <c r="CF60" s="58">
        <v>42.616234846309005</v>
      </c>
      <c r="CG60" s="58">
        <v>9.7749859679918778</v>
      </c>
      <c r="CH60" s="58">
        <v>56.210902591599641</v>
      </c>
      <c r="CI60" s="58">
        <v>19.791666666666668</v>
      </c>
      <c r="CJ60" s="58">
        <v>75.510204081632651</v>
      </c>
      <c r="CK60" s="58">
        <v>82.441665443153013</v>
      </c>
      <c r="CL60" s="58">
        <v>93.333333333333329</v>
      </c>
      <c r="CM60" s="58">
        <v>40.984384626506717</v>
      </c>
      <c r="CN60" s="58">
        <v>100</v>
      </c>
      <c r="CO60" s="58">
        <v>84.391819160387513</v>
      </c>
      <c r="CP60" s="58">
        <v>65.60570444380204</v>
      </c>
      <c r="CQ60" s="58">
        <v>47</v>
      </c>
      <c r="CR60" s="58">
        <v>32</v>
      </c>
      <c r="CS60" s="58">
        <v>88</v>
      </c>
      <c r="CT60" s="58">
        <v>29</v>
      </c>
      <c r="CU60" s="58">
        <v>35</v>
      </c>
      <c r="CV60" s="58" t="s">
        <v>920</v>
      </c>
      <c r="CW60" s="58">
        <v>39</v>
      </c>
      <c r="CX60" s="58">
        <v>33</v>
      </c>
      <c r="CY60" s="58">
        <v>79</v>
      </c>
      <c r="CZ60" s="58">
        <v>35</v>
      </c>
      <c r="DA60" s="58">
        <v>65</v>
      </c>
      <c r="DB60" s="58">
        <v>108</v>
      </c>
      <c r="DC60" s="58">
        <v>40</v>
      </c>
      <c r="DD60" s="58">
        <v>15</v>
      </c>
      <c r="DE60" s="58">
        <v>54</v>
      </c>
      <c r="DF60" s="58">
        <v>60</v>
      </c>
      <c r="DG60" s="58">
        <v>40</v>
      </c>
      <c r="DH60" s="58" t="s">
        <v>920</v>
      </c>
      <c r="DI60" s="58">
        <v>19</v>
      </c>
      <c r="DJ60" s="58">
        <v>58</v>
      </c>
      <c r="DK60" s="58">
        <v>51</v>
      </c>
      <c r="DL60" s="58">
        <v>55</v>
      </c>
      <c r="DM60" s="58">
        <v>46</v>
      </c>
      <c r="DN60" s="58">
        <v>45</v>
      </c>
      <c r="DO60" s="58">
        <v>40</v>
      </c>
      <c r="DP60" s="58">
        <v>56</v>
      </c>
      <c r="DQ60" s="58">
        <v>29</v>
      </c>
      <c r="DR60" s="58">
        <v>39</v>
      </c>
      <c r="DS60" s="58">
        <v>36</v>
      </c>
      <c r="DT60" s="58" t="s">
        <v>920</v>
      </c>
      <c r="DU60" s="58">
        <v>20</v>
      </c>
      <c r="DV60" s="58">
        <v>45</v>
      </c>
      <c r="DW60" s="58">
        <v>34</v>
      </c>
      <c r="DX60" s="58">
        <v>66</v>
      </c>
      <c r="DY60" s="58">
        <v>72</v>
      </c>
      <c r="DZ60" s="58">
        <v>50</v>
      </c>
      <c r="EA60" s="58">
        <v>59</v>
      </c>
      <c r="EB60" s="58">
        <v>40</v>
      </c>
      <c r="EC60" s="58">
        <v>75</v>
      </c>
      <c r="ED60" s="58" t="s">
        <v>920</v>
      </c>
      <c r="EE60" s="58">
        <v>40</v>
      </c>
      <c r="EF60" s="58">
        <v>53</v>
      </c>
      <c r="EG60" s="58">
        <v>59</v>
      </c>
      <c r="EH60" s="58">
        <v>77</v>
      </c>
      <c r="EI60" s="58">
        <v>78</v>
      </c>
      <c r="EJ60" s="58">
        <v>120</v>
      </c>
      <c r="EK60" s="58">
        <v>42</v>
      </c>
      <c r="EL60" s="58">
        <v>29</v>
      </c>
      <c r="EM60" s="58">
        <v>50</v>
      </c>
      <c r="EN60" s="58">
        <v>43</v>
      </c>
      <c r="EO60" s="58">
        <v>1</v>
      </c>
      <c r="EP60" s="58">
        <v>35</v>
      </c>
      <c r="EQ60" s="58">
        <v>58</v>
      </c>
    </row>
    <row r="61" spans="1:147" x14ac:dyDescent="0.45">
      <c r="A61" t="s">
        <v>76</v>
      </c>
      <c r="B61" s="59" t="s">
        <v>340</v>
      </c>
      <c r="C61" s="37" t="s">
        <v>10</v>
      </c>
      <c r="D61" s="37" t="s">
        <v>880</v>
      </c>
      <c r="E61" s="104">
        <v>42477.288</v>
      </c>
      <c r="F61" s="104">
        <v>6796000</v>
      </c>
      <c r="G61" s="87">
        <v>52.94119396401134</v>
      </c>
      <c r="H61" s="1" t="s">
        <v>189</v>
      </c>
      <c r="I61" s="58">
        <v>55</v>
      </c>
      <c r="J61" s="87">
        <v>46.114181100958433</v>
      </c>
      <c r="K61" s="87">
        <v>44.488134547486645</v>
      </c>
      <c r="L61" s="87">
        <v>68.639803596281979</v>
      </c>
      <c r="M61" s="87">
        <v>52.522656611318297</v>
      </c>
      <c r="N61" s="58">
        <v>51</v>
      </c>
      <c r="O61" s="58">
        <v>51</v>
      </c>
      <c r="P61" s="58">
        <v>48</v>
      </c>
      <c r="Q61" s="58">
        <v>72</v>
      </c>
      <c r="R61" s="58">
        <v>73.026852651363953</v>
      </c>
      <c r="S61" s="58">
        <v>31.052907324094512</v>
      </c>
      <c r="T61" s="58">
        <v>34.262783327416827</v>
      </c>
      <c r="U61" s="58">
        <v>57.34189100913099</v>
      </c>
      <c r="V61" s="58">
        <v>28.634377121306443</v>
      </c>
      <c r="W61" s="58">
        <v>47.488135512022495</v>
      </c>
      <c r="X61" s="58">
        <v>63.448845983660505</v>
      </c>
      <c r="Y61" s="58">
        <v>76.458326443038487</v>
      </c>
      <c r="Z61" s="58">
        <v>66.01223836214696</v>
      </c>
      <c r="AA61" s="58">
        <v>38.302754878389976</v>
      </c>
      <c r="AB61" s="58">
        <v>57.41343078106501</v>
      </c>
      <c r="AC61" s="58">
        <v>61.85178417449989</v>
      </c>
      <c r="AD61" s="58">
        <v>51</v>
      </c>
      <c r="AE61" s="58">
        <v>50</v>
      </c>
      <c r="AF61" s="58">
        <v>65</v>
      </c>
      <c r="AG61" s="58">
        <v>38</v>
      </c>
      <c r="AH61" s="58">
        <v>72</v>
      </c>
      <c r="AI61" s="58">
        <v>42</v>
      </c>
      <c r="AJ61" s="58">
        <v>58</v>
      </c>
      <c r="AK61" s="58">
        <v>29</v>
      </c>
      <c r="AL61" s="58">
        <v>59</v>
      </c>
      <c r="AM61" s="58">
        <v>43</v>
      </c>
      <c r="AN61" s="58">
        <v>87</v>
      </c>
      <c r="AO61" s="58">
        <v>69</v>
      </c>
      <c r="AP61" s="58">
        <v>74.055551039856496</v>
      </c>
      <c r="AQ61" s="58">
        <v>75.776942695952883</v>
      </c>
      <c r="AR61" s="58">
        <v>36.902439931907082</v>
      </c>
      <c r="AS61" s="58">
        <v>99.947368421052602</v>
      </c>
      <c r="AT61" s="58">
        <v>78.451961168050673</v>
      </c>
      <c r="AU61" s="58" t="s">
        <v>920</v>
      </c>
      <c r="AV61" s="58">
        <v>36.256336076271616</v>
      </c>
      <c r="AW61" s="58">
        <v>15.819489501726835</v>
      </c>
      <c r="AX61" s="58">
        <v>68.34707092747928</v>
      </c>
      <c r="AY61" s="58">
        <v>3.7887327909003248</v>
      </c>
      <c r="AZ61" s="58">
        <v>72.030561431721637</v>
      </c>
      <c r="BA61" s="58">
        <v>46.5</v>
      </c>
      <c r="BB61" s="58">
        <v>3.4070844797350954</v>
      </c>
      <c r="BC61" s="58">
        <v>15.113487398210587</v>
      </c>
      <c r="BD61" s="58">
        <v>16.215877207769974</v>
      </c>
      <c r="BE61" s="58">
        <v>47.892685499765875</v>
      </c>
      <c r="BF61" s="58">
        <v>67.727616713603481</v>
      </c>
      <c r="BG61" s="58">
        <v>97.531384615384624</v>
      </c>
      <c r="BH61" s="58" t="s">
        <v>920</v>
      </c>
      <c r="BI61" s="58">
        <v>45.531512442651945</v>
      </c>
      <c r="BJ61" s="58">
        <v>15.731724265138345</v>
      </c>
      <c r="BK61" s="58">
        <v>41.219808689396551</v>
      </c>
      <c r="BL61" s="58">
        <v>12.054463088038933</v>
      </c>
      <c r="BM61" s="58">
        <v>72.655526280963898</v>
      </c>
      <c r="BN61" s="58">
        <v>52.676601623571173</v>
      </c>
      <c r="BO61" s="58">
        <v>52.211800105639703</v>
      </c>
      <c r="BP61" s="58">
        <v>12.408614037915228</v>
      </c>
      <c r="BQ61" s="58">
        <v>87.263854620952927</v>
      </c>
      <c r="BR61" s="58">
        <v>69.430397067984316</v>
      </c>
      <c r="BS61" s="58">
        <v>56.441850416593489</v>
      </c>
      <c r="BT61" s="58">
        <v>40.659281829111265</v>
      </c>
      <c r="BU61" s="58">
        <v>52.435840878110696</v>
      </c>
      <c r="BV61" s="58">
        <v>88.749999999929685</v>
      </c>
      <c r="BW61" s="58">
        <v>59.231050565687937</v>
      </c>
      <c r="BX61" s="58">
        <v>100</v>
      </c>
      <c r="BY61" s="58">
        <v>81.874740771464118</v>
      </c>
      <c r="BZ61" s="58">
        <v>65.213711383834124</v>
      </c>
      <c r="CA61" s="58">
        <v>72.770584671228463</v>
      </c>
      <c r="CB61" s="58">
        <v>64.311873828701991</v>
      </c>
      <c r="CC61" s="58">
        <v>61.752783564823218</v>
      </c>
      <c r="CD61" s="58">
        <v>2.7975854827777575</v>
      </c>
      <c r="CE61" s="58">
        <v>52.255567101966008</v>
      </c>
      <c r="CF61" s="58">
        <v>52.953095755861845</v>
      </c>
      <c r="CG61" s="58">
        <v>45.204771172954281</v>
      </c>
      <c r="CH61" s="58">
        <v>51.251117068811446</v>
      </c>
      <c r="CI61" s="58">
        <v>60.416666666666664</v>
      </c>
      <c r="CJ61" s="58">
        <v>59.948979591836739</v>
      </c>
      <c r="CK61" s="58">
        <v>61.196037623597057</v>
      </c>
      <c r="CL61" s="58">
        <v>84.444444444444443</v>
      </c>
      <c r="CM61" s="58">
        <v>31.771122719467471</v>
      </c>
      <c r="CN61" s="58">
        <v>86.36363636363636</v>
      </c>
      <c r="CO61" s="58">
        <v>68.353067814854683</v>
      </c>
      <c r="CP61" s="58">
        <v>37.394175155637711</v>
      </c>
      <c r="CQ61" s="58">
        <v>51</v>
      </c>
      <c r="CR61" s="58">
        <v>51</v>
      </c>
      <c r="CS61" s="58">
        <v>48</v>
      </c>
      <c r="CT61" s="58">
        <v>25</v>
      </c>
      <c r="CU61" s="58">
        <v>28</v>
      </c>
      <c r="CV61" s="58" t="s">
        <v>920</v>
      </c>
      <c r="CW61" s="58">
        <v>30</v>
      </c>
      <c r="CX61" s="58">
        <v>39</v>
      </c>
      <c r="CY61" s="58">
        <v>51</v>
      </c>
      <c r="CZ61" s="58">
        <v>73</v>
      </c>
      <c r="DA61" s="58">
        <v>36</v>
      </c>
      <c r="DB61" s="58">
        <v>50</v>
      </c>
      <c r="DC61" s="58">
        <v>41</v>
      </c>
      <c r="DD61" s="58">
        <v>71</v>
      </c>
      <c r="DE61" s="58">
        <v>61</v>
      </c>
      <c r="DF61" s="58">
        <v>69</v>
      </c>
      <c r="DG61" s="58">
        <v>67</v>
      </c>
      <c r="DH61" s="58">
        <v>25</v>
      </c>
      <c r="DI61" s="58" t="s">
        <v>920</v>
      </c>
      <c r="DJ61" s="58">
        <v>70</v>
      </c>
      <c r="DK61" s="58">
        <v>36</v>
      </c>
      <c r="DL61" s="58">
        <v>63</v>
      </c>
      <c r="DM61" s="58">
        <v>50</v>
      </c>
      <c r="DN61" s="58">
        <v>57</v>
      </c>
      <c r="DO61" s="58">
        <v>29</v>
      </c>
      <c r="DP61" s="58">
        <v>33</v>
      </c>
      <c r="DQ61" s="58">
        <v>48</v>
      </c>
      <c r="DR61" s="58">
        <v>21</v>
      </c>
      <c r="DS61" s="58">
        <v>90</v>
      </c>
      <c r="DT61" s="58">
        <v>19</v>
      </c>
      <c r="DU61" s="58">
        <v>52</v>
      </c>
      <c r="DV61" s="58">
        <v>51</v>
      </c>
      <c r="DW61" s="58">
        <v>22</v>
      </c>
      <c r="DX61" s="58">
        <v>41</v>
      </c>
      <c r="DY61" s="58">
        <v>1</v>
      </c>
      <c r="DZ61" s="58">
        <v>26</v>
      </c>
      <c r="EA61" s="58">
        <v>59</v>
      </c>
      <c r="EB61" s="58">
        <v>64</v>
      </c>
      <c r="EC61" s="58">
        <v>61</v>
      </c>
      <c r="ED61" s="58">
        <v>44</v>
      </c>
      <c r="EE61" s="58">
        <v>44</v>
      </c>
      <c r="EF61" s="58">
        <v>70</v>
      </c>
      <c r="EG61" s="58">
        <v>45</v>
      </c>
      <c r="EH61" s="58">
        <v>15</v>
      </c>
      <c r="EI61" s="58">
        <v>81</v>
      </c>
      <c r="EJ61" s="58">
        <v>85</v>
      </c>
      <c r="EK61" s="58">
        <v>80</v>
      </c>
      <c r="EL61" s="58">
        <v>78</v>
      </c>
      <c r="EM61" s="58">
        <v>68</v>
      </c>
      <c r="EN61" s="58">
        <v>50</v>
      </c>
      <c r="EO61" s="58">
        <v>40</v>
      </c>
      <c r="EP61" s="58">
        <v>86</v>
      </c>
      <c r="EQ61" s="58">
        <v>103</v>
      </c>
    </row>
    <row r="62" spans="1:147" x14ac:dyDescent="0.45">
      <c r="A62" t="s">
        <v>136</v>
      </c>
      <c r="B62" s="59" t="s">
        <v>326</v>
      </c>
      <c r="C62" s="37" t="s">
        <v>34</v>
      </c>
      <c r="D62" s="37" t="s">
        <v>880</v>
      </c>
      <c r="E62" s="104">
        <v>49048.991000000002</v>
      </c>
      <c r="F62" s="104">
        <v>145441000</v>
      </c>
      <c r="G62" s="87">
        <v>52.013781269349735</v>
      </c>
      <c r="H62" s="1" t="s">
        <v>182</v>
      </c>
      <c r="I62" s="58">
        <v>56</v>
      </c>
      <c r="J62" s="87">
        <v>43.93930369843131</v>
      </c>
      <c r="K62" s="87">
        <v>51.761554384724526</v>
      </c>
      <c r="L62" s="87">
        <v>61.262545435389249</v>
      </c>
      <c r="M62" s="87">
        <v>51.091721558853862</v>
      </c>
      <c r="N62" s="58">
        <v>62</v>
      </c>
      <c r="O62" s="58">
        <v>32</v>
      </c>
      <c r="P62" s="58">
        <v>63</v>
      </c>
      <c r="Q62" s="58">
        <v>79</v>
      </c>
      <c r="R62" s="58">
        <v>78.652905311776337</v>
      </c>
      <c r="S62" s="58">
        <v>29.599632774592273</v>
      </c>
      <c r="T62" s="58">
        <v>23.56537300892532</v>
      </c>
      <c r="U62" s="58">
        <v>80.894965322766794</v>
      </c>
      <c r="V62" s="58">
        <v>28.51366535892431</v>
      </c>
      <c r="W62" s="58">
        <v>45.876032472482486</v>
      </c>
      <c r="X62" s="58">
        <v>75.112144670787515</v>
      </c>
      <c r="Y62" s="58">
        <v>36.277440550573687</v>
      </c>
      <c r="Z62" s="58">
        <v>72.398051084806539</v>
      </c>
      <c r="AA62" s="58">
        <v>30.62032939120655</v>
      </c>
      <c r="AB62" s="58">
        <v>61.995849137779636</v>
      </c>
      <c r="AC62" s="58">
        <v>60.658986147575419</v>
      </c>
      <c r="AD62" s="58">
        <v>25</v>
      </c>
      <c r="AE62" s="58">
        <v>51</v>
      </c>
      <c r="AF62" s="58">
        <v>100</v>
      </c>
      <c r="AG62" s="58">
        <v>2</v>
      </c>
      <c r="AH62" s="58">
        <v>73</v>
      </c>
      <c r="AI62" s="58">
        <v>50</v>
      </c>
      <c r="AJ62" s="58">
        <v>41</v>
      </c>
      <c r="AK62" s="58">
        <v>117</v>
      </c>
      <c r="AL62" s="58">
        <v>47</v>
      </c>
      <c r="AM62" s="58">
        <v>70</v>
      </c>
      <c r="AN62" s="58">
        <v>76</v>
      </c>
      <c r="AO62" s="58">
        <v>77</v>
      </c>
      <c r="AP62" s="58">
        <v>82.964217639391094</v>
      </c>
      <c r="AQ62" s="58">
        <v>78.050152753106346</v>
      </c>
      <c r="AR62" s="58">
        <v>65.630726214253201</v>
      </c>
      <c r="AS62" s="58">
        <v>84.210526315789465</v>
      </c>
      <c r="AT62" s="58">
        <v>82.40890363634162</v>
      </c>
      <c r="AU62" s="58" t="s">
        <v>920</v>
      </c>
      <c r="AV62" s="58">
        <v>12.736233901842912</v>
      </c>
      <c r="AW62" s="58">
        <v>11.211272373300533</v>
      </c>
      <c r="AX62" s="58">
        <v>69.809599592336497</v>
      </c>
      <c r="AY62" s="58">
        <v>24.641425230889151</v>
      </c>
      <c r="AZ62" s="58" t="s">
        <v>920</v>
      </c>
      <c r="BA62" s="58">
        <v>48.750000000000007</v>
      </c>
      <c r="BB62" s="58">
        <v>0.9180646563140894</v>
      </c>
      <c r="BC62" s="58">
        <v>21.028054370461874</v>
      </c>
      <c r="BD62" s="58">
        <v>66.163898304480213</v>
      </c>
      <c r="BE62" s="58" t="s">
        <v>920</v>
      </c>
      <c r="BF62" s="58">
        <v>76.520997663820197</v>
      </c>
      <c r="BG62" s="58">
        <v>100</v>
      </c>
      <c r="BH62" s="58" t="s">
        <v>920</v>
      </c>
      <c r="BI62" s="58" t="s">
        <v>920</v>
      </c>
      <c r="BJ62" s="58">
        <v>0</v>
      </c>
      <c r="BK62" s="58">
        <v>60.408172428189168</v>
      </c>
      <c r="BL62" s="58">
        <v>25.132823648583759</v>
      </c>
      <c r="BM62" s="58">
        <v>73.123518725713112</v>
      </c>
      <c r="BN62" s="58">
        <v>49.997873294068008</v>
      </c>
      <c r="BO62" s="58" t="s">
        <v>920</v>
      </c>
      <c r="BP62" s="58">
        <v>14.506705397666328</v>
      </c>
      <c r="BQ62" s="58">
        <v>81.919159997768034</v>
      </c>
      <c r="BR62" s="58">
        <v>90.537134898186864</v>
      </c>
      <c r="BS62" s="58" t="s">
        <v>920</v>
      </c>
      <c r="BT62" s="58">
        <v>52.880139116407634</v>
      </c>
      <c r="BU62" s="58">
        <v>14.148961222468353</v>
      </c>
      <c r="BV62" s="58">
        <v>22.187499999513673</v>
      </c>
      <c r="BW62" s="58">
        <v>49.62353290376074</v>
      </c>
      <c r="BX62" s="58">
        <v>75</v>
      </c>
      <c r="BY62" s="58">
        <v>20.427208627125676</v>
      </c>
      <c r="BZ62" s="58">
        <v>62.31485399915362</v>
      </c>
      <c r="CA62" s="58">
        <v>87.591433380198922</v>
      </c>
      <c r="CB62" s="58">
        <v>67.28786587506707</v>
      </c>
      <c r="CC62" s="58" t="s">
        <v>920</v>
      </c>
      <c r="CD62" s="58">
        <v>2.819996679677971</v>
      </c>
      <c r="CE62" s="58">
        <v>84.026100006417494</v>
      </c>
      <c r="CF62" s="58" t="s">
        <v>920</v>
      </c>
      <c r="CG62" s="58">
        <v>5.0148914875241877</v>
      </c>
      <c r="CH62" s="58">
        <v>59.986595174262746</v>
      </c>
      <c r="CI62" s="58">
        <v>59.635416666666664</v>
      </c>
      <c r="CJ62" s="58">
        <v>76.530612244897966</v>
      </c>
      <c r="CK62" s="58">
        <v>56.200458899921045</v>
      </c>
      <c r="CL62" s="58">
        <v>97.777777777777771</v>
      </c>
      <c r="CM62" s="58">
        <v>59.561148589674339</v>
      </c>
      <c r="CN62" s="58">
        <v>60.909090909090914</v>
      </c>
      <c r="CO62" s="58">
        <v>45.102260495156067</v>
      </c>
      <c r="CP62" s="58">
        <v>56.349111414983</v>
      </c>
      <c r="CQ62" s="58">
        <v>31</v>
      </c>
      <c r="CR62" s="58">
        <v>49</v>
      </c>
      <c r="CS62" s="58">
        <v>9</v>
      </c>
      <c r="CT62" s="58">
        <v>91</v>
      </c>
      <c r="CU62" s="58">
        <v>17</v>
      </c>
      <c r="CV62" s="58" t="s">
        <v>920</v>
      </c>
      <c r="CW62" s="58">
        <v>52</v>
      </c>
      <c r="CX62" s="58">
        <v>42</v>
      </c>
      <c r="CY62" s="58">
        <v>41</v>
      </c>
      <c r="CZ62" s="58">
        <v>33</v>
      </c>
      <c r="DA62" s="58" t="s">
        <v>920</v>
      </c>
      <c r="DB62" s="58">
        <v>47</v>
      </c>
      <c r="DC62" s="58">
        <v>49</v>
      </c>
      <c r="DD62" s="58">
        <v>49</v>
      </c>
      <c r="DE62" s="58">
        <v>4</v>
      </c>
      <c r="DF62" s="58" t="s">
        <v>920</v>
      </c>
      <c r="DG62" s="58">
        <v>44</v>
      </c>
      <c r="DH62" s="58">
        <v>1</v>
      </c>
      <c r="DI62" s="58" t="s">
        <v>920</v>
      </c>
      <c r="DJ62" s="58" t="s">
        <v>920</v>
      </c>
      <c r="DK62" s="58">
        <v>92</v>
      </c>
      <c r="DL62" s="58">
        <v>15</v>
      </c>
      <c r="DM62" s="58">
        <v>32</v>
      </c>
      <c r="DN62" s="58">
        <v>56</v>
      </c>
      <c r="DO62" s="58">
        <v>30</v>
      </c>
      <c r="DP62" s="58" t="s">
        <v>920</v>
      </c>
      <c r="DQ62" s="58">
        <v>43</v>
      </c>
      <c r="DR62" s="58">
        <v>36</v>
      </c>
      <c r="DS62" s="58">
        <v>58</v>
      </c>
      <c r="DT62" s="58" t="s">
        <v>920</v>
      </c>
      <c r="DU62" s="58">
        <v>44</v>
      </c>
      <c r="DV62" s="58">
        <v>124</v>
      </c>
      <c r="DW62" s="58">
        <v>121</v>
      </c>
      <c r="DX62" s="58">
        <v>52</v>
      </c>
      <c r="DY62" s="58">
        <v>72</v>
      </c>
      <c r="DZ62" s="58">
        <v>121</v>
      </c>
      <c r="EA62" s="58">
        <v>65</v>
      </c>
      <c r="EB62" s="58">
        <v>35</v>
      </c>
      <c r="EC62" s="58">
        <v>39</v>
      </c>
      <c r="ED62" s="58" t="s">
        <v>920</v>
      </c>
      <c r="EE62" s="58">
        <v>43</v>
      </c>
      <c r="EF62" s="58">
        <v>4</v>
      </c>
      <c r="EG62" s="58" t="s">
        <v>920</v>
      </c>
      <c r="EH62" s="58">
        <v>94</v>
      </c>
      <c r="EI62" s="58">
        <v>64</v>
      </c>
      <c r="EJ62" s="58">
        <v>87</v>
      </c>
      <c r="EK62" s="58">
        <v>41</v>
      </c>
      <c r="EL62" s="58">
        <v>89</v>
      </c>
      <c r="EM62" s="58">
        <v>42</v>
      </c>
      <c r="EN62" s="58">
        <v>24</v>
      </c>
      <c r="EO62" s="58">
        <v>105</v>
      </c>
      <c r="EP62" s="58">
        <v>112</v>
      </c>
      <c r="EQ62" s="58">
        <v>73</v>
      </c>
    </row>
    <row r="63" spans="1:147" x14ac:dyDescent="0.45">
      <c r="A63" t="s">
        <v>36</v>
      </c>
      <c r="B63" s="59" t="s">
        <v>330</v>
      </c>
      <c r="C63" s="37" t="s">
        <v>37</v>
      </c>
      <c r="D63" s="37" t="s">
        <v>880</v>
      </c>
      <c r="E63" s="104">
        <v>35286.468000000001</v>
      </c>
      <c r="F63" s="104">
        <v>19659000</v>
      </c>
      <c r="G63" s="87">
        <v>51.8656449533879</v>
      </c>
      <c r="H63" s="1" t="s">
        <v>183</v>
      </c>
      <c r="I63" s="58">
        <v>57</v>
      </c>
      <c r="J63" s="87">
        <v>44.006108196524771</v>
      </c>
      <c r="K63" s="87">
        <v>39.028147579033977</v>
      </c>
      <c r="L63" s="87">
        <v>69.951874449614436</v>
      </c>
      <c r="M63" s="87">
        <v>54.476449588378408</v>
      </c>
      <c r="N63" s="58">
        <v>60</v>
      </c>
      <c r="O63" s="58">
        <v>73</v>
      </c>
      <c r="P63" s="58">
        <v>43</v>
      </c>
      <c r="Q63" s="58">
        <v>59</v>
      </c>
      <c r="R63" s="58">
        <v>71.633757792824099</v>
      </c>
      <c r="S63" s="58">
        <v>22.368691360511974</v>
      </c>
      <c r="T63" s="58">
        <v>38.015875436238254</v>
      </c>
      <c r="U63" s="58">
        <v>52.557508603738555</v>
      </c>
      <c r="V63" s="58">
        <v>25.023574077913239</v>
      </c>
      <c r="W63" s="58">
        <v>39.503360055450145</v>
      </c>
      <c r="X63" s="58">
        <v>65.29839746431837</v>
      </c>
      <c r="Y63" s="58">
        <v>70.734846553274025</v>
      </c>
      <c r="Z63" s="58">
        <v>73.822379331250914</v>
      </c>
      <c r="AA63" s="58">
        <v>26.618385533916655</v>
      </c>
      <c r="AB63" s="58">
        <v>68.040389663975915</v>
      </c>
      <c r="AC63" s="58">
        <v>68.77057356724265</v>
      </c>
      <c r="AD63" s="58">
        <v>54</v>
      </c>
      <c r="AE63" s="58">
        <v>73</v>
      </c>
      <c r="AF63" s="58">
        <v>50</v>
      </c>
      <c r="AG63" s="58">
        <v>60</v>
      </c>
      <c r="AH63" s="58">
        <v>85</v>
      </c>
      <c r="AI63" s="58">
        <v>67</v>
      </c>
      <c r="AJ63" s="58">
        <v>56</v>
      </c>
      <c r="AK63" s="58">
        <v>40</v>
      </c>
      <c r="AL63" s="58">
        <v>43</v>
      </c>
      <c r="AM63" s="58">
        <v>92</v>
      </c>
      <c r="AN63" s="58">
        <v>57</v>
      </c>
      <c r="AO63" s="58">
        <v>52</v>
      </c>
      <c r="AP63" s="58">
        <v>77.891490180513401</v>
      </c>
      <c r="AQ63" s="58">
        <v>65.880748566976877</v>
      </c>
      <c r="AR63" s="58">
        <v>45.390670192401799</v>
      </c>
      <c r="AS63" s="58">
        <v>89.473684210526315</v>
      </c>
      <c r="AT63" s="58">
        <v>79.532195813702089</v>
      </c>
      <c r="AU63" s="58" t="s">
        <v>920</v>
      </c>
      <c r="AV63" s="58">
        <v>9.9331846820735112</v>
      </c>
      <c r="AW63" s="58">
        <v>9.3524623980908341</v>
      </c>
      <c r="AX63" s="58">
        <v>63.958173981389081</v>
      </c>
      <c r="AY63" s="58">
        <v>6.2309443804944635</v>
      </c>
      <c r="AZ63" s="58">
        <v>65.651748298404172</v>
      </c>
      <c r="BA63" s="58">
        <v>38.5</v>
      </c>
      <c r="BB63" s="58">
        <v>0.66265665375623606</v>
      </c>
      <c r="BC63" s="58">
        <v>47.249096792792614</v>
      </c>
      <c r="BD63" s="58">
        <v>34.394303104622587</v>
      </c>
      <c r="BE63" s="58">
        <v>47.540021552291087</v>
      </c>
      <c r="BF63" s="58">
        <v>81.530738217850029</v>
      </c>
      <c r="BG63" s="58">
        <v>93.84615384615384</v>
      </c>
      <c r="BH63" s="58">
        <v>5.476326297775242</v>
      </c>
      <c r="BI63" s="58" t="s">
        <v>920</v>
      </c>
      <c r="BJ63" s="58">
        <v>4.6054331017642589</v>
      </c>
      <c r="BK63" s="58">
        <v>48.536443664093959</v>
      </c>
      <c r="BL63" s="58">
        <v>21.928845467881501</v>
      </c>
      <c r="BM63" s="58">
        <v>83.300249034540002</v>
      </c>
      <c r="BN63" s="58">
        <v>46.938548799225771</v>
      </c>
      <c r="BO63" s="58">
        <v>21.695442222339047</v>
      </c>
      <c r="BP63" s="58">
        <v>6.0792001656957719</v>
      </c>
      <c r="BQ63" s="58">
        <v>75.58885647915622</v>
      </c>
      <c r="BR63" s="58">
        <v>64.242911992239399</v>
      </c>
      <c r="BS63" s="58" t="s">
        <v>920</v>
      </c>
      <c r="BT63" s="58">
        <v>56.063423921559504</v>
      </c>
      <c r="BU63" s="58">
        <v>65.394464769424204</v>
      </c>
      <c r="BV63" s="58">
        <v>68.124999999800778</v>
      </c>
      <c r="BW63" s="58">
        <v>49.955680481591415</v>
      </c>
      <c r="BX63" s="58">
        <v>100</v>
      </c>
      <c r="BY63" s="58">
        <v>70.1990875155537</v>
      </c>
      <c r="BZ63" s="58">
        <v>82.606855691917062</v>
      </c>
      <c r="CA63" s="58">
        <v>97.530366152101962</v>
      </c>
      <c r="CB63" s="58">
        <v>67.702329671975946</v>
      </c>
      <c r="CC63" s="58">
        <v>47.449965809008717</v>
      </c>
      <c r="CD63" s="58">
        <v>2.0347507584567381</v>
      </c>
      <c r="CE63" s="58">
        <v>61.847573293532101</v>
      </c>
      <c r="CF63" s="58">
        <v>38.388824537538234</v>
      </c>
      <c r="CG63" s="58">
        <v>4.2023935461395459</v>
      </c>
      <c r="CH63" s="58">
        <v>69.280607685433424</v>
      </c>
      <c r="CI63" s="58">
        <v>69.661458333333343</v>
      </c>
      <c r="CJ63" s="58">
        <v>51.020408163265316</v>
      </c>
      <c r="CK63" s="58">
        <v>79.3377977830567</v>
      </c>
      <c r="CL63" s="58">
        <v>100</v>
      </c>
      <c r="CM63" s="58">
        <v>40.135241336540702</v>
      </c>
      <c r="CN63" s="58">
        <v>70.909090909090907</v>
      </c>
      <c r="CO63" s="58">
        <v>77.179763186221734</v>
      </c>
      <c r="CP63" s="58">
        <v>73.716397674234443</v>
      </c>
      <c r="CQ63" s="58">
        <v>41</v>
      </c>
      <c r="CR63" s="58">
        <v>62</v>
      </c>
      <c r="CS63" s="58">
        <v>30</v>
      </c>
      <c r="CT63" s="58">
        <v>83</v>
      </c>
      <c r="CU63" s="58">
        <v>24</v>
      </c>
      <c r="CV63" s="58" t="s">
        <v>920</v>
      </c>
      <c r="CW63" s="58">
        <v>55</v>
      </c>
      <c r="CX63" s="58">
        <v>46</v>
      </c>
      <c r="CY63" s="58">
        <v>67</v>
      </c>
      <c r="CZ63" s="58">
        <v>61</v>
      </c>
      <c r="DA63" s="58">
        <v>49</v>
      </c>
      <c r="DB63" s="58">
        <v>66</v>
      </c>
      <c r="DC63" s="58">
        <v>51</v>
      </c>
      <c r="DD63" s="58">
        <v>13</v>
      </c>
      <c r="DE63" s="58">
        <v>28</v>
      </c>
      <c r="DF63" s="58">
        <v>71</v>
      </c>
      <c r="DG63" s="58">
        <v>21</v>
      </c>
      <c r="DH63" s="58">
        <v>39</v>
      </c>
      <c r="DI63" s="58">
        <v>41</v>
      </c>
      <c r="DJ63" s="58" t="s">
        <v>920</v>
      </c>
      <c r="DK63" s="58">
        <v>65</v>
      </c>
      <c r="DL63" s="58">
        <v>37</v>
      </c>
      <c r="DM63" s="58">
        <v>38</v>
      </c>
      <c r="DN63" s="58">
        <v>33</v>
      </c>
      <c r="DO63" s="58">
        <v>34</v>
      </c>
      <c r="DP63" s="58">
        <v>92</v>
      </c>
      <c r="DQ63" s="58">
        <v>66</v>
      </c>
      <c r="DR63" s="58">
        <v>43</v>
      </c>
      <c r="DS63" s="58">
        <v>92</v>
      </c>
      <c r="DT63" s="58" t="s">
        <v>920</v>
      </c>
      <c r="DU63" s="58">
        <v>40</v>
      </c>
      <c r="DV63" s="58">
        <v>33</v>
      </c>
      <c r="DW63" s="58">
        <v>73</v>
      </c>
      <c r="DX63" s="58">
        <v>51</v>
      </c>
      <c r="DY63" s="58">
        <v>1</v>
      </c>
      <c r="DZ63" s="58">
        <v>49</v>
      </c>
      <c r="EA63" s="58">
        <v>29</v>
      </c>
      <c r="EB63" s="58">
        <v>9</v>
      </c>
      <c r="EC63" s="58">
        <v>36</v>
      </c>
      <c r="ED63" s="58">
        <v>55</v>
      </c>
      <c r="EE63" s="58">
        <v>46</v>
      </c>
      <c r="EF63" s="58">
        <v>42</v>
      </c>
      <c r="EG63" s="58">
        <v>64</v>
      </c>
      <c r="EH63" s="58">
        <v>97</v>
      </c>
      <c r="EI63" s="58">
        <v>43</v>
      </c>
      <c r="EJ63" s="58">
        <v>65</v>
      </c>
      <c r="EK63" s="58">
        <v>93</v>
      </c>
      <c r="EL63" s="58">
        <v>31</v>
      </c>
      <c r="EM63" s="58">
        <v>1</v>
      </c>
      <c r="EN63" s="58">
        <v>44</v>
      </c>
      <c r="EO63" s="58">
        <v>84</v>
      </c>
      <c r="EP63" s="58">
        <v>59</v>
      </c>
      <c r="EQ63" s="58">
        <v>46</v>
      </c>
    </row>
    <row r="64" spans="1:147" x14ac:dyDescent="0.45">
      <c r="A64" t="s">
        <v>23</v>
      </c>
      <c r="B64" s="59" t="s">
        <v>359</v>
      </c>
      <c r="C64" s="37" t="s">
        <v>25</v>
      </c>
      <c r="D64" s="37" t="s">
        <v>881</v>
      </c>
      <c r="E64" s="104">
        <v>33023.741000000002</v>
      </c>
      <c r="F64" s="104">
        <v>1274000</v>
      </c>
      <c r="G64" s="87">
        <v>51.791654224361018</v>
      </c>
      <c r="H64" s="1" t="s">
        <v>210</v>
      </c>
      <c r="I64" s="58">
        <v>58</v>
      </c>
      <c r="J64" s="87">
        <v>40.591433353634663</v>
      </c>
      <c r="K64" s="87">
        <v>45.648692664839437</v>
      </c>
      <c r="L64" s="87">
        <v>62.461132972134529</v>
      </c>
      <c r="M64" s="87">
        <v>58.465357906835436</v>
      </c>
      <c r="N64" s="58">
        <v>76</v>
      </c>
      <c r="O64" s="58">
        <v>48</v>
      </c>
      <c r="P64" s="58">
        <v>59</v>
      </c>
      <c r="Q64" s="58">
        <v>45</v>
      </c>
      <c r="R64" s="58">
        <v>67.131109571013766</v>
      </c>
      <c r="S64" s="58">
        <v>20.124309610132997</v>
      </c>
      <c r="T64" s="58">
        <v>34.518880879757219</v>
      </c>
      <c r="U64" s="58">
        <v>51.304526329155571</v>
      </c>
      <c r="V64" s="58">
        <v>55.69011968892594</v>
      </c>
      <c r="W64" s="58">
        <v>29.951431976436798</v>
      </c>
      <c r="X64" s="58">
        <v>61.849249164053013</v>
      </c>
      <c r="Y64" s="58">
        <v>61.355344571202615</v>
      </c>
      <c r="Z64" s="58">
        <v>64.178805181147965</v>
      </c>
      <c r="AA64" s="58">
        <v>30.202697885932306</v>
      </c>
      <c r="AB64" s="58">
        <v>63.645975535016994</v>
      </c>
      <c r="AC64" s="58">
        <v>81.547400299556998</v>
      </c>
      <c r="AD64" s="58">
        <v>69</v>
      </c>
      <c r="AE64" s="58">
        <v>80</v>
      </c>
      <c r="AF64" s="58">
        <v>64</v>
      </c>
      <c r="AG64" s="58">
        <v>66</v>
      </c>
      <c r="AH64" s="58">
        <v>17</v>
      </c>
      <c r="AI64" s="58">
        <v>90</v>
      </c>
      <c r="AJ64" s="58">
        <v>60</v>
      </c>
      <c r="AK64" s="58">
        <v>69</v>
      </c>
      <c r="AL64" s="58">
        <v>64</v>
      </c>
      <c r="AM64" s="58">
        <v>74</v>
      </c>
      <c r="AN64" s="58">
        <v>72</v>
      </c>
      <c r="AO64" s="58">
        <v>24</v>
      </c>
      <c r="AP64" s="58">
        <v>65.024881601282999</v>
      </c>
      <c r="AQ64" s="58">
        <v>54.728623389106716</v>
      </c>
      <c r="AR64" s="58">
        <v>23.341824836329454</v>
      </c>
      <c r="AS64" s="58">
        <v>94.73684210526315</v>
      </c>
      <c r="AT64" s="58">
        <v>64.954485494100254</v>
      </c>
      <c r="AU64" s="58">
        <v>100</v>
      </c>
      <c r="AV64" s="58">
        <v>7.3440151647522631</v>
      </c>
      <c r="AW64" s="58">
        <v>8.479617231967076</v>
      </c>
      <c r="AX64" s="58">
        <v>64.178314255097476</v>
      </c>
      <c r="AY64" s="58">
        <v>0.49529178871517465</v>
      </c>
      <c r="AZ64" s="58">
        <v>55.649459181830622</v>
      </c>
      <c r="BA64" s="58">
        <v>35</v>
      </c>
      <c r="BB64" s="58" t="s">
        <v>920</v>
      </c>
      <c r="BC64" s="58">
        <v>12.907183457441034</v>
      </c>
      <c r="BD64" s="58">
        <v>3.968288578343198</v>
      </c>
      <c r="BE64" s="58">
        <v>40.618665857459931</v>
      </c>
      <c r="BF64" s="58">
        <v>69.359579245896228</v>
      </c>
      <c r="BG64" s="58">
        <v>91.271571634922935</v>
      </c>
      <c r="BH64" s="58" t="s">
        <v>920</v>
      </c>
      <c r="BI64" s="58">
        <v>66.726079780292721</v>
      </c>
      <c r="BJ64" s="58">
        <v>100</v>
      </c>
      <c r="BK64" s="58" t="s">
        <v>920</v>
      </c>
      <c r="BL64" s="58">
        <v>0.34427928648510975</v>
      </c>
      <c r="BM64" s="58">
        <v>50.712816255819824</v>
      </c>
      <c r="BN64" s="58" t="s">
        <v>920</v>
      </c>
      <c r="BO64" s="58">
        <v>35.537248010493876</v>
      </c>
      <c r="BP64" s="58">
        <v>3.6042316629966966</v>
      </c>
      <c r="BQ64" s="58">
        <v>61.708994615843807</v>
      </c>
      <c r="BR64" s="58">
        <v>100</v>
      </c>
      <c r="BS64" s="58" t="s">
        <v>920</v>
      </c>
      <c r="BT64" s="58">
        <v>23.838752876315226</v>
      </c>
      <c r="BU64" s="58">
        <v>68.866553453490127</v>
      </c>
      <c r="BV64" s="58">
        <v>63.437499999771482</v>
      </c>
      <c r="BW64" s="58">
        <v>43.365245097483921</v>
      </c>
      <c r="BX64" s="58">
        <v>100</v>
      </c>
      <c r="BY64" s="58">
        <v>31.107424305267521</v>
      </c>
      <c r="BZ64" s="58">
        <v>37.685146000846373</v>
      </c>
      <c r="CA64" s="58">
        <v>76.990740021683592</v>
      </c>
      <c r="CB64" s="58">
        <v>61.124231660035697</v>
      </c>
      <c r="CC64" s="58">
        <v>80.915103042026175</v>
      </c>
      <c r="CD64" s="58" t="s">
        <v>920</v>
      </c>
      <c r="CE64" s="58">
        <v>33.956595082297937</v>
      </c>
      <c r="CF64" s="58">
        <v>38.21523370060946</v>
      </c>
      <c r="CG64" s="58">
        <v>18.436264874889517</v>
      </c>
      <c r="CH64" s="58">
        <v>57.46201966041108</v>
      </c>
      <c r="CI64" s="58">
        <v>67.317708333333343</v>
      </c>
      <c r="CJ64" s="58">
        <v>66.83673469387756</v>
      </c>
      <c r="CK64" s="58">
        <v>65.479662528735574</v>
      </c>
      <c r="CL64" s="58">
        <v>68.888888888888886</v>
      </c>
      <c r="CM64" s="58" t="s">
        <v>920</v>
      </c>
      <c r="CN64" s="58">
        <v>84.545454545454547</v>
      </c>
      <c r="CO64" s="58">
        <v>89.558665231431647</v>
      </c>
      <c r="CP64" s="58">
        <v>72.187273354680656</v>
      </c>
      <c r="CQ64" s="58">
        <v>68</v>
      </c>
      <c r="CR64" s="58">
        <v>77</v>
      </c>
      <c r="CS64" s="58">
        <v>86</v>
      </c>
      <c r="CT64" s="58">
        <v>63</v>
      </c>
      <c r="CU64" s="58">
        <v>101</v>
      </c>
      <c r="CV64" s="58">
        <v>1</v>
      </c>
      <c r="CW64" s="58">
        <v>61</v>
      </c>
      <c r="CX64" s="58">
        <v>50</v>
      </c>
      <c r="CY64" s="58">
        <v>66</v>
      </c>
      <c r="CZ64" s="58">
        <v>108</v>
      </c>
      <c r="DA64" s="58">
        <v>72</v>
      </c>
      <c r="DB64" s="58">
        <v>78</v>
      </c>
      <c r="DC64" s="58" t="s">
        <v>920</v>
      </c>
      <c r="DD64" s="58">
        <v>74</v>
      </c>
      <c r="DE64" s="58">
        <v>101</v>
      </c>
      <c r="DF64" s="58">
        <v>82</v>
      </c>
      <c r="DG64" s="58">
        <v>63</v>
      </c>
      <c r="DH64" s="58">
        <v>52</v>
      </c>
      <c r="DI64" s="58" t="s">
        <v>920</v>
      </c>
      <c r="DJ64" s="58">
        <v>43</v>
      </c>
      <c r="DK64" s="58">
        <v>1</v>
      </c>
      <c r="DL64" s="58" t="s">
        <v>920</v>
      </c>
      <c r="DM64" s="58">
        <v>111</v>
      </c>
      <c r="DN64" s="58">
        <v>92</v>
      </c>
      <c r="DO64" s="58" t="s">
        <v>920</v>
      </c>
      <c r="DP64" s="58">
        <v>67</v>
      </c>
      <c r="DQ64" s="58">
        <v>80</v>
      </c>
      <c r="DR64" s="58">
        <v>64</v>
      </c>
      <c r="DS64" s="58">
        <v>1</v>
      </c>
      <c r="DT64" s="58" t="s">
        <v>920</v>
      </c>
      <c r="DU64" s="58">
        <v>65</v>
      </c>
      <c r="DV64" s="58">
        <v>29</v>
      </c>
      <c r="DW64" s="58">
        <v>78</v>
      </c>
      <c r="DX64" s="58">
        <v>65</v>
      </c>
      <c r="DY64" s="58">
        <v>1</v>
      </c>
      <c r="DZ64" s="58">
        <v>112</v>
      </c>
      <c r="EA64" s="58">
        <v>98</v>
      </c>
      <c r="EB64" s="58">
        <v>56</v>
      </c>
      <c r="EC64" s="58">
        <v>74</v>
      </c>
      <c r="ED64" s="58">
        <v>13</v>
      </c>
      <c r="EE64" s="58" t="s">
        <v>920</v>
      </c>
      <c r="EF64" s="58">
        <v>117</v>
      </c>
      <c r="EG64" s="58">
        <v>65</v>
      </c>
      <c r="EH64" s="58">
        <v>51</v>
      </c>
      <c r="EI64" s="58">
        <v>76</v>
      </c>
      <c r="EJ64" s="58">
        <v>74</v>
      </c>
      <c r="EK64" s="58">
        <v>68</v>
      </c>
      <c r="EL64" s="58">
        <v>69</v>
      </c>
      <c r="EM64" s="58">
        <v>86</v>
      </c>
      <c r="EN64" s="58" t="s">
        <v>920</v>
      </c>
      <c r="EO64" s="58">
        <v>45</v>
      </c>
      <c r="EP64" s="58">
        <v>15</v>
      </c>
      <c r="EQ64" s="58">
        <v>49</v>
      </c>
    </row>
    <row r="65" spans="1:147" x14ac:dyDescent="0.45">
      <c r="A65" t="s">
        <v>74</v>
      </c>
      <c r="B65" s="59" t="s">
        <v>338</v>
      </c>
      <c r="C65" s="37" t="s">
        <v>29</v>
      </c>
      <c r="D65" s="37" t="s">
        <v>880</v>
      </c>
      <c r="E65" s="104">
        <v>42211.199000000001</v>
      </c>
      <c r="F65" s="104">
        <v>5049000</v>
      </c>
      <c r="G65" s="87">
        <v>51.611438527834011</v>
      </c>
      <c r="H65" s="1" t="s">
        <v>187</v>
      </c>
      <c r="I65" s="58">
        <v>59</v>
      </c>
      <c r="J65" s="87">
        <v>43.654410954159516</v>
      </c>
      <c r="K65" s="87">
        <v>42.051625120316039</v>
      </c>
      <c r="L65" s="87">
        <v>66.299307882909076</v>
      </c>
      <c r="M65" s="87">
        <v>54.440410153951404</v>
      </c>
      <c r="N65" s="58">
        <v>65</v>
      </c>
      <c r="O65" s="58">
        <v>61</v>
      </c>
      <c r="P65" s="58">
        <v>51</v>
      </c>
      <c r="Q65" s="58">
        <v>60</v>
      </c>
      <c r="R65" s="58">
        <v>70.150314683279959</v>
      </c>
      <c r="S65" s="58">
        <v>19.862506170737984</v>
      </c>
      <c r="T65" s="58">
        <v>40.95041200846061</v>
      </c>
      <c r="U65" s="58">
        <v>62.126219016061711</v>
      </c>
      <c r="V65" s="58">
        <v>19.520820726142734</v>
      </c>
      <c r="W65" s="58">
        <v>44.507835618743684</v>
      </c>
      <c r="X65" s="58">
        <v>55.495774946432732</v>
      </c>
      <c r="Y65" s="58">
        <v>62.812382247165615</v>
      </c>
      <c r="Z65" s="58">
        <v>80.589766455128853</v>
      </c>
      <c r="AA65" s="58">
        <v>39.459797489896239</v>
      </c>
      <c r="AB65" s="58">
        <v>74.768397931425397</v>
      </c>
      <c r="AC65" s="58">
        <v>49.093035040532591</v>
      </c>
      <c r="AD65" s="58">
        <v>62</v>
      </c>
      <c r="AE65" s="58">
        <v>82</v>
      </c>
      <c r="AF65" s="58">
        <v>43</v>
      </c>
      <c r="AG65" s="58">
        <v>23</v>
      </c>
      <c r="AH65" s="58">
        <v>109</v>
      </c>
      <c r="AI65" s="58">
        <v>58</v>
      </c>
      <c r="AJ65" s="58">
        <v>65</v>
      </c>
      <c r="AK65" s="58">
        <v>63</v>
      </c>
      <c r="AL65" s="58">
        <v>21</v>
      </c>
      <c r="AM65" s="58">
        <v>40</v>
      </c>
      <c r="AN65" s="58">
        <v>36</v>
      </c>
      <c r="AO65" s="58">
        <v>107</v>
      </c>
      <c r="AP65" s="58">
        <v>61.497814768544899</v>
      </c>
      <c r="AQ65" s="58">
        <v>66.186164347133854</v>
      </c>
      <c r="AR65" s="58">
        <v>20.224392903763253</v>
      </c>
      <c r="AS65" s="58">
        <v>100</v>
      </c>
      <c r="AT65" s="58">
        <v>72.993516080237768</v>
      </c>
      <c r="AU65" s="58">
        <v>100</v>
      </c>
      <c r="AV65" s="58">
        <v>3.0221422978115413</v>
      </c>
      <c r="AW65" s="58">
        <v>1.0700205210408298</v>
      </c>
      <c r="AX65" s="58">
        <v>69.572016783978725</v>
      </c>
      <c r="AY65" s="58">
        <v>5.7858450801208337</v>
      </c>
      <c r="AZ65" s="58">
        <v>69.969781360609488</v>
      </c>
      <c r="BA65" s="58">
        <v>50</v>
      </c>
      <c r="BB65" s="58" t="s">
        <v>920</v>
      </c>
      <c r="BC65" s="58">
        <v>2.8814546647723329</v>
      </c>
      <c r="BD65" s="58">
        <v>6.8030255073404362</v>
      </c>
      <c r="BE65" s="58">
        <v>74.53156524069469</v>
      </c>
      <c r="BF65" s="58">
        <v>71.785669931596331</v>
      </c>
      <c r="BG65" s="58">
        <v>95.384615384615373</v>
      </c>
      <c r="BH65" s="58" t="s">
        <v>920</v>
      </c>
      <c r="BI65" s="58" t="s">
        <v>920</v>
      </c>
      <c r="BJ65" s="58">
        <v>10.770507254845475</v>
      </c>
      <c r="BK65" s="58">
        <v>45.084003361381605</v>
      </c>
      <c r="BL65" s="58">
        <v>2.7079515622011141</v>
      </c>
      <c r="BM65" s="58">
        <v>76.869864414528223</v>
      </c>
      <c r="BN65" s="58">
        <v>14.983996339941323</v>
      </c>
      <c r="BO65" s="58">
        <v>80.471173126459732</v>
      </c>
      <c r="BP65" s="58">
        <v>5.7063085940454599</v>
      </c>
      <c r="BQ65" s="58">
        <v>45.300911154024185</v>
      </c>
      <c r="BR65" s="58">
        <v>96.398562077846861</v>
      </c>
      <c r="BS65" s="58" t="s">
        <v>920</v>
      </c>
      <c r="BT65" s="58">
        <v>24.787851607427143</v>
      </c>
      <c r="BU65" s="58">
        <v>53.10251605674722</v>
      </c>
      <c r="BV65" s="58">
        <v>81.249999999882817</v>
      </c>
      <c r="BW65" s="58">
        <v>55.590772201180606</v>
      </c>
      <c r="BX65" s="58">
        <v>100</v>
      </c>
      <c r="BY65" s="58">
        <v>24.11862297801742</v>
      </c>
      <c r="BZ65" s="58">
        <v>63.764282691493868</v>
      </c>
      <c r="CA65" s="58">
        <v>85.219593754340522</v>
      </c>
      <c r="CB65" s="58">
        <v>73.375189374681028</v>
      </c>
      <c r="CC65" s="58">
        <v>100</v>
      </c>
      <c r="CD65" s="58" t="s">
        <v>920</v>
      </c>
      <c r="CE65" s="58">
        <v>51.14791156657801</v>
      </c>
      <c r="CF65" s="58">
        <v>63.948654986633521</v>
      </c>
      <c r="CG65" s="58">
        <v>3.2828259164771842</v>
      </c>
      <c r="CH65" s="58">
        <v>65.616621983914214</v>
      </c>
      <c r="CI65" s="58">
        <v>89.322916666666671</v>
      </c>
      <c r="CJ65" s="58" t="s">
        <v>920</v>
      </c>
      <c r="CK65" s="58">
        <v>63.962912355965216</v>
      </c>
      <c r="CL65" s="58">
        <v>77.777777777777786</v>
      </c>
      <c r="CM65" s="58" t="s">
        <v>920</v>
      </c>
      <c r="CN65" s="58">
        <v>21.818181818181817</v>
      </c>
      <c r="CO65" s="58">
        <v>43.918191603875137</v>
      </c>
      <c r="CP65" s="58">
        <v>85.307685621303833</v>
      </c>
      <c r="CQ65" s="58">
        <v>75</v>
      </c>
      <c r="CR65" s="58">
        <v>60</v>
      </c>
      <c r="CS65" s="58">
        <v>91</v>
      </c>
      <c r="CT65" s="58">
        <v>1</v>
      </c>
      <c r="CU65" s="58">
        <v>55</v>
      </c>
      <c r="CV65" s="58">
        <v>1</v>
      </c>
      <c r="CW65" s="58">
        <v>93</v>
      </c>
      <c r="CX65" s="58">
        <v>94</v>
      </c>
      <c r="CY65" s="58">
        <v>43</v>
      </c>
      <c r="CZ65" s="58">
        <v>63</v>
      </c>
      <c r="DA65" s="58">
        <v>41</v>
      </c>
      <c r="DB65" s="58">
        <v>42</v>
      </c>
      <c r="DC65" s="58" t="s">
        <v>920</v>
      </c>
      <c r="DD65" s="58">
        <v>110</v>
      </c>
      <c r="DE65" s="58">
        <v>85</v>
      </c>
      <c r="DF65" s="58">
        <v>23</v>
      </c>
      <c r="DG65" s="58">
        <v>59</v>
      </c>
      <c r="DH65" s="58">
        <v>34</v>
      </c>
      <c r="DI65" s="58" t="s">
        <v>920</v>
      </c>
      <c r="DJ65" s="58" t="s">
        <v>920</v>
      </c>
      <c r="DK65" s="58">
        <v>45</v>
      </c>
      <c r="DL65" s="58">
        <v>52</v>
      </c>
      <c r="DM65" s="58">
        <v>73</v>
      </c>
      <c r="DN65" s="58">
        <v>48</v>
      </c>
      <c r="DO65" s="58">
        <v>81</v>
      </c>
      <c r="DP65" s="58">
        <v>9</v>
      </c>
      <c r="DQ65" s="58">
        <v>67</v>
      </c>
      <c r="DR65" s="58">
        <v>95</v>
      </c>
      <c r="DS65" s="58">
        <v>38</v>
      </c>
      <c r="DT65" s="58" t="s">
        <v>920</v>
      </c>
      <c r="DU65" s="58">
        <v>63</v>
      </c>
      <c r="DV65" s="58">
        <v>49</v>
      </c>
      <c r="DW65" s="58">
        <v>41</v>
      </c>
      <c r="DX65" s="58">
        <v>47</v>
      </c>
      <c r="DY65" s="58">
        <v>1</v>
      </c>
      <c r="DZ65" s="58">
        <v>116</v>
      </c>
      <c r="EA65" s="58">
        <v>61</v>
      </c>
      <c r="EB65" s="58">
        <v>39</v>
      </c>
      <c r="EC65" s="58">
        <v>7</v>
      </c>
      <c r="ED65" s="58">
        <v>1</v>
      </c>
      <c r="EE65" s="58" t="s">
        <v>920</v>
      </c>
      <c r="EF65" s="58">
        <v>73</v>
      </c>
      <c r="EG65" s="58">
        <v>29</v>
      </c>
      <c r="EH65" s="58">
        <v>104</v>
      </c>
      <c r="EI65" s="58">
        <v>50</v>
      </c>
      <c r="EJ65" s="58">
        <v>18</v>
      </c>
      <c r="EK65" s="58" t="s">
        <v>920</v>
      </c>
      <c r="EL65" s="58">
        <v>74</v>
      </c>
      <c r="EM65" s="58">
        <v>76</v>
      </c>
      <c r="EN65" s="58" t="s">
        <v>920</v>
      </c>
      <c r="EO65" s="58">
        <v>124</v>
      </c>
      <c r="EP65" s="58">
        <v>115</v>
      </c>
      <c r="EQ65" s="58">
        <v>27</v>
      </c>
    </row>
    <row r="66" spans="1:147" x14ac:dyDescent="0.45">
      <c r="A66" t="s">
        <v>337</v>
      </c>
      <c r="B66" s="59" t="s">
        <v>336</v>
      </c>
      <c r="C66" s="37" t="s">
        <v>10</v>
      </c>
      <c r="D66" s="37" t="s">
        <v>881</v>
      </c>
      <c r="E66" s="104">
        <v>43786.195</v>
      </c>
      <c r="F66" s="104">
        <v>87271000</v>
      </c>
      <c r="G66" s="87">
        <v>51.274282225540183</v>
      </c>
      <c r="H66" s="1" t="s">
        <v>184</v>
      </c>
      <c r="I66" s="58">
        <v>60</v>
      </c>
      <c r="J66" s="87">
        <v>50.218248629574084</v>
      </c>
      <c r="K66" s="87">
        <v>44.982407762961536</v>
      </c>
      <c r="L66" s="87">
        <v>63.751495702561556</v>
      </c>
      <c r="M66" s="87">
        <v>46.14497680706355</v>
      </c>
      <c r="N66" s="58">
        <v>40</v>
      </c>
      <c r="O66" s="58">
        <v>50</v>
      </c>
      <c r="P66" s="58">
        <v>58</v>
      </c>
      <c r="Q66" s="58">
        <v>94</v>
      </c>
      <c r="R66" s="58">
        <v>80.313678589979745</v>
      </c>
      <c r="S66" s="58">
        <v>38.644305950252146</v>
      </c>
      <c r="T66" s="58">
        <v>31.69676134849038</v>
      </c>
      <c r="U66" s="58">
        <v>51.239052116565041</v>
      </c>
      <c r="V66" s="58">
        <v>31.470372106477456</v>
      </c>
      <c r="W66" s="58">
        <v>52.237799065842104</v>
      </c>
      <c r="X66" s="58">
        <v>74.301475170402469</v>
      </c>
      <c r="Y66" s="58">
        <v>59.345013496468901</v>
      </c>
      <c r="Z66" s="58">
        <v>57.607998440813319</v>
      </c>
      <c r="AA66" s="58">
        <v>29.756731636245039</v>
      </c>
      <c r="AB66" s="58">
        <v>34.591878960380939</v>
      </c>
      <c r="AC66" s="58">
        <v>74.086319824564683</v>
      </c>
      <c r="AD66" s="58">
        <v>17</v>
      </c>
      <c r="AE66" s="58">
        <v>38</v>
      </c>
      <c r="AF66" s="58">
        <v>75</v>
      </c>
      <c r="AG66" s="58">
        <v>67</v>
      </c>
      <c r="AH66" s="58">
        <v>60</v>
      </c>
      <c r="AI66" s="58">
        <v>31</v>
      </c>
      <c r="AJ66" s="58">
        <v>43</v>
      </c>
      <c r="AK66" s="58">
        <v>72</v>
      </c>
      <c r="AL66" s="58">
        <v>78</v>
      </c>
      <c r="AM66" s="58">
        <v>76</v>
      </c>
      <c r="AN66" s="58">
        <v>119</v>
      </c>
      <c r="AO66" s="58">
        <v>41</v>
      </c>
      <c r="AP66" s="58">
        <v>84.446243868781195</v>
      </c>
      <c r="AQ66" s="58">
        <v>62.540066652611124</v>
      </c>
      <c r="AR66" s="58">
        <v>51.215277764730786</v>
      </c>
      <c r="AS66" s="58">
        <v>98.947368421052616</v>
      </c>
      <c r="AT66" s="58">
        <v>84.733114832702768</v>
      </c>
      <c r="AU66" s="58">
        <v>100</v>
      </c>
      <c r="AV66" s="58">
        <v>6.1799211762066149</v>
      </c>
      <c r="AW66" s="58">
        <v>9.0067721806187393</v>
      </c>
      <c r="AX66" s="58">
        <v>73.378301699200819</v>
      </c>
      <c r="AY66" s="58">
        <v>66.012228744982423</v>
      </c>
      <c r="AZ66" s="58">
        <v>65.586985854639948</v>
      </c>
      <c r="BA66" s="58">
        <v>27.500000000000004</v>
      </c>
      <c r="BB66" s="58">
        <v>5.6123852715945599</v>
      </c>
      <c r="BC66" s="58">
        <v>28.08767426772701</v>
      </c>
      <c r="BD66" s="58">
        <v>46.94244388918122</v>
      </c>
      <c r="BE66" s="58">
        <v>35.946438142596627</v>
      </c>
      <c r="BF66" s="58">
        <v>70.163634244583733</v>
      </c>
      <c r="BG66" s="58">
        <v>95.384615384615373</v>
      </c>
      <c r="BH66" s="58">
        <v>7.7581289218482592</v>
      </c>
      <c r="BI66" s="58">
        <v>44.218816072459752</v>
      </c>
      <c r="BJ66" s="58">
        <v>2.1766435668457413</v>
      </c>
      <c r="BK66" s="58">
        <v>56.628630420457604</v>
      </c>
      <c r="BL66" s="58">
        <v>22.857398366146732</v>
      </c>
      <c r="BM66" s="58">
        <v>90.679852263567568</v>
      </c>
      <c r="BN66" s="58" t="s">
        <v>920</v>
      </c>
      <c r="BO66" s="58">
        <v>43.688778409446485</v>
      </c>
      <c r="BP66" s="58">
        <v>22.344766524512259</v>
      </c>
      <c r="BQ66" s="58">
        <v>75.021775518260313</v>
      </c>
      <c r="BR66" s="58">
        <v>100</v>
      </c>
      <c r="BS66" s="58">
        <v>74.59936691529434</v>
      </c>
      <c r="BT66" s="58">
        <v>47.584758248055223</v>
      </c>
      <c r="BU66" s="58">
        <v>36.484975935686677</v>
      </c>
      <c r="BV66" s="58">
        <v>85.937499999912106</v>
      </c>
      <c r="BW66" s="58">
        <v>43.153690675737856</v>
      </c>
      <c r="BX66" s="58">
        <v>100</v>
      </c>
      <c r="BY66" s="58">
        <v>31.148900871007879</v>
      </c>
      <c r="BZ66" s="58">
        <v>85.505713076597544</v>
      </c>
      <c r="CA66" s="58">
        <v>66.440926570415883</v>
      </c>
      <c r="CB66" s="58">
        <v>53.98938754671385</v>
      </c>
      <c r="CC66" s="58">
        <v>24.495966569525987</v>
      </c>
      <c r="CD66" s="58">
        <v>5.3421514686429648</v>
      </c>
      <c r="CE66" s="58">
        <v>77.436715299914837</v>
      </c>
      <c r="CF66" s="58">
        <v>29.400922240773653</v>
      </c>
      <c r="CG66" s="58">
        <v>6.8471375356486925</v>
      </c>
      <c r="CH66" s="58">
        <v>44.727435210008935</v>
      </c>
      <c r="CI66" s="58">
        <v>0</v>
      </c>
      <c r="CJ66" s="58">
        <v>47.193877551020414</v>
      </c>
      <c r="CK66" s="58">
        <v>70.902525791247328</v>
      </c>
      <c r="CL66" s="58">
        <v>91.111111111111114</v>
      </c>
      <c r="CM66" s="58">
        <v>51.44339822246323</v>
      </c>
      <c r="CN66" s="58">
        <v>74.545454545454547</v>
      </c>
      <c r="CO66" s="58">
        <v>84.391819160387513</v>
      </c>
      <c r="CP66" s="58">
        <v>80.818103628795754</v>
      </c>
      <c r="CQ66" s="58">
        <v>29</v>
      </c>
      <c r="CR66" s="58">
        <v>70</v>
      </c>
      <c r="CS66" s="58">
        <v>18</v>
      </c>
      <c r="CT66" s="58">
        <v>43</v>
      </c>
      <c r="CU66" s="58">
        <v>12</v>
      </c>
      <c r="CV66" s="58">
        <v>1</v>
      </c>
      <c r="CW66" s="58">
        <v>67</v>
      </c>
      <c r="CX66" s="58">
        <v>47</v>
      </c>
      <c r="CY66" s="58">
        <v>24</v>
      </c>
      <c r="CZ66" s="58">
        <v>9</v>
      </c>
      <c r="DA66" s="58">
        <v>50</v>
      </c>
      <c r="DB66" s="58">
        <v>101</v>
      </c>
      <c r="DC66" s="58">
        <v>37</v>
      </c>
      <c r="DD66" s="58">
        <v>28</v>
      </c>
      <c r="DE66" s="58">
        <v>12</v>
      </c>
      <c r="DF66" s="58">
        <v>91</v>
      </c>
      <c r="DG66" s="58">
        <v>62</v>
      </c>
      <c r="DH66" s="58">
        <v>34</v>
      </c>
      <c r="DI66" s="58">
        <v>40</v>
      </c>
      <c r="DJ66" s="58">
        <v>74</v>
      </c>
      <c r="DK66" s="58">
        <v>79</v>
      </c>
      <c r="DL66" s="58">
        <v>21</v>
      </c>
      <c r="DM66" s="58">
        <v>37</v>
      </c>
      <c r="DN66" s="58">
        <v>13</v>
      </c>
      <c r="DO66" s="58" t="s">
        <v>920</v>
      </c>
      <c r="DP66" s="58">
        <v>46</v>
      </c>
      <c r="DQ66" s="58">
        <v>31</v>
      </c>
      <c r="DR66" s="58">
        <v>45</v>
      </c>
      <c r="DS66" s="58">
        <v>1</v>
      </c>
      <c r="DT66" s="58">
        <v>7</v>
      </c>
      <c r="DU66" s="58">
        <v>48</v>
      </c>
      <c r="DV66" s="58">
        <v>84</v>
      </c>
      <c r="DW66" s="58">
        <v>30</v>
      </c>
      <c r="DX66" s="58">
        <v>68</v>
      </c>
      <c r="DY66" s="58">
        <v>1</v>
      </c>
      <c r="DZ66" s="58">
        <v>111</v>
      </c>
      <c r="EA66" s="58">
        <v>22</v>
      </c>
      <c r="EB66" s="58">
        <v>72</v>
      </c>
      <c r="EC66" s="58">
        <v>86</v>
      </c>
      <c r="ED66" s="58">
        <v>71</v>
      </c>
      <c r="EE66" s="58">
        <v>36</v>
      </c>
      <c r="EF66" s="58">
        <v>12</v>
      </c>
      <c r="EG66" s="58">
        <v>76</v>
      </c>
      <c r="EH66" s="58">
        <v>84</v>
      </c>
      <c r="EI66" s="58">
        <v>89</v>
      </c>
      <c r="EJ66" s="58">
        <v>124</v>
      </c>
      <c r="EK66" s="58">
        <v>97</v>
      </c>
      <c r="EL66" s="58">
        <v>46</v>
      </c>
      <c r="EM66" s="58">
        <v>53</v>
      </c>
      <c r="EN66" s="58">
        <v>37</v>
      </c>
      <c r="EO66" s="58">
        <v>72</v>
      </c>
      <c r="EP66" s="58">
        <v>35</v>
      </c>
      <c r="EQ66" s="58">
        <v>32</v>
      </c>
    </row>
    <row r="67" spans="1:147" x14ac:dyDescent="0.45">
      <c r="A67" t="s">
        <v>90</v>
      </c>
      <c r="B67" s="59" t="s">
        <v>363</v>
      </c>
      <c r="C67" s="37" t="s">
        <v>10</v>
      </c>
      <c r="D67" s="37" t="s">
        <v>881</v>
      </c>
      <c r="E67" s="104">
        <v>31089.681</v>
      </c>
      <c r="F67" s="104">
        <v>3807000</v>
      </c>
      <c r="G67" s="87">
        <v>51.112501435438681</v>
      </c>
      <c r="H67" s="1" t="s">
        <v>207</v>
      </c>
      <c r="I67" s="58">
        <v>61</v>
      </c>
      <c r="J67" s="87">
        <v>43.727800119699246</v>
      </c>
      <c r="K67" s="87">
        <v>43.209354434322613</v>
      </c>
      <c r="L67" s="87">
        <v>65.171206614961392</v>
      </c>
      <c r="M67" s="87">
        <v>52.34164457277145</v>
      </c>
      <c r="N67" s="58">
        <v>64</v>
      </c>
      <c r="O67" s="58">
        <v>57</v>
      </c>
      <c r="P67" s="58">
        <v>54</v>
      </c>
      <c r="Q67" s="58">
        <v>74</v>
      </c>
      <c r="R67" s="58">
        <v>73.77421851654239</v>
      </c>
      <c r="S67" s="58">
        <v>24.801875078122375</v>
      </c>
      <c r="T67" s="58">
        <v>32.60730676443297</v>
      </c>
      <c r="U67" s="58">
        <v>59.660297110305393</v>
      </c>
      <c r="V67" s="58">
        <v>32.058865919775371</v>
      </c>
      <c r="W67" s="58">
        <v>37.908900272887067</v>
      </c>
      <c r="X67" s="58">
        <v>62.389572460060855</v>
      </c>
      <c r="Y67" s="58">
        <v>74.045507152407893</v>
      </c>
      <c r="Z67" s="58">
        <v>59.078540232415428</v>
      </c>
      <c r="AA67" s="58">
        <v>37.018635085797399</v>
      </c>
      <c r="AB67" s="58">
        <v>64.600248447691655</v>
      </c>
      <c r="AC67" s="58">
        <v>55.406050184825304</v>
      </c>
      <c r="AD67" s="58">
        <v>49</v>
      </c>
      <c r="AE67" s="58">
        <v>66</v>
      </c>
      <c r="AF67" s="58">
        <v>73</v>
      </c>
      <c r="AG67" s="58">
        <v>27</v>
      </c>
      <c r="AH67" s="58">
        <v>58</v>
      </c>
      <c r="AI67" s="58">
        <v>70</v>
      </c>
      <c r="AJ67" s="58">
        <v>59</v>
      </c>
      <c r="AK67" s="58">
        <v>33</v>
      </c>
      <c r="AL67" s="58">
        <v>74</v>
      </c>
      <c r="AM67" s="58">
        <v>47</v>
      </c>
      <c r="AN67" s="58">
        <v>67</v>
      </c>
      <c r="AO67" s="58">
        <v>93</v>
      </c>
      <c r="AP67" s="58">
        <v>80.299085534580499</v>
      </c>
      <c r="AQ67" s="58">
        <v>55.956618811347333</v>
      </c>
      <c r="AR67" s="58">
        <v>36.728308151853291</v>
      </c>
      <c r="AS67" s="58">
        <v>99.473684210526343</v>
      </c>
      <c r="AT67" s="58">
        <v>70.187614390946848</v>
      </c>
      <c r="AU67" s="58">
        <v>100</v>
      </c>
      <c r="AV67" s="58">
        <v>27.819598749689334</v>
      </c>
      <c r="AW67" s="58">
        <v>5.0966426754908385</v>
      </c>
      <c r="AX67" s="58">
        <v>65.576769743407809</v>
      </c>
      <c r="AY67" s="58">
        <v>0.71448914390151941</v>
      </c>
      <c r="AZ67" s="58">
        <v>64.238132540999914</v>
      </c>
      <c r="BA67" s="58">
        <v>30.000000000000004</v>
      </c>
      <c r="BB67" s="58" t="s">
        <v>920</v>
      </c>
      <c r="BC67" s="58">
        <v>3.5837877522990071</v>
      </c>
      <c r="BD67" s="58">
        <v>8.8522431139045707</v>
      </c>
      <c r="BE67" s="58">
        <v>48.477296807492515</v>
      </c>
      <c r="BF67" s="58">
        <v>81.311648519824487</v>
      </c>
      <c r="BG67" s="58">
        <v>100</v>
      </c>
      <c r="BH67" s="58" t="s">
        <v>920</v>
      </c>
      <c r="BI67" s="58">
        <v>61.156100377849206</v>
      </c>
      <c r="BJ67" s="58" t="s">
        <v>920</v>
      </c>
      <c r="BK67" s="58">
        <v>34.244074308805494</v>
      </c>
      <c r="BL67" s="58">
        <v>0.77642307267141142</v>
      </c>
      <c r="BM67" s="58">
        <v>47.693122075047214</v>
      </c>
      <c r="BN67" s="58">
        <v>34.329516470900231</v>
      </c>
      <c r="BO67" s="58">
        <v>65.711903993030774</v>
      </c>
      <c r="BP67" s="58">
        <v>3.901058552570059</v>
      </c>
      <c r="BQ67" s="58">
        <v>69.346240146679833</v>
      </c>
      <c r="BR67" s="58">
        <v>90.4799296801868</v>
      </c>
      <c r="BS67" s="58">
        <v>59.193626618146098</v>
      </c>
      <c r="BT67" s="58">
        <v>30.538493395230699</v>
      </c>
      <c r="BU67" s="58">
        <v>65.916138641135262</v>
      </c>
      <c r="BV67" s="58">
        <v>87.81249999992383</v>
      </c>
      <c r="BW67" s="58">
        <v>45.905782230893209</v>
      </c>
      <c r="BX67" s="58">
        <v>100</v>
      </c>
      <c r="BY67" s="58">
        <v>70.593114890087094</v>
      </c>
      <c r="BZ67" s="58">
        <v>53.618281845112151</v>
      </c>
      <c r="CA67" s="58">
        <v>63.314966566609989</v>
      </c>
      <c r="CB67" s="58">
        <v>68.95243663163717</v>
      </c>
      <c r="CC67" s="58">
        <v>50.428475886302401</v>
      </c>
      <c r="CD67" s="58">
        <v>1.0900054090098545</v>
      </c>
      <c r="CE67" s="58">
        <v>43.525090278148923</v>
      </c>
      <c r="CF67" s="58">
        <v>63.561389610430616</v>
      </c>
      <c r="CG67" s="58">
        <v>39.898055045600216</v>
      </c>
      <c r="CH67" s="58">
        <v>47.810545129579992</v>
      </c>
      <c r="CI67" s="58">
        <v>78.125</v>
      </c>
      <c r="CJ67" s="58">
        <v>74.234693877551024</v>
      </c>
      <c r="CK67" s="58">
        <v>61.495706549438921</v>
      </c>
      <c r="CL67" s="58">
        <v>73.333333333333329</v>
      </c>
      <c r="CM67" s="58">
        <v>18.711143339476351</v>
      </c>
      <c r="CN67" s="58">
        <v>82.727272727272734</v>
      </c>
      <c r="CO67" s="58">
        <v>76.318622174381048</v>
      </c>
      <c r="CP67" s="58">
        <v>14.400991663008881</v>
      </c>
      <c r="CQ67" s="58">
        <v>36</v>
      </c>
      <c r="CR67" s="58">
        <v>76</v>
      </c>
      <c r="CS67" s="58">
        <v>49</v>
      </c>
      <c r="CT67" s="58">
        <v>29</v>
      </c>
      <c r="CU67" s="58">
        <v>69</v>
      </c>
      <c r="CV67" s="58">
        <v>1</v>
      </c>
      <c r="CW67" s="58">
        <v>36</v>
      </c>
      <c r="CX67" s="58">
        <v>60</v>
      </c>
      <c r="CY67" s="58">
        <v>62</v>
      </c>
      <c r="CZ67" s="58">
        <v>101</v>
      </c>
      <c r="DA67" s="58">
        <v>55</v>
      </c>
      <c r="DB67" s="58">
        <v>94</v>
      </c>
      <c r="DC67" s="58" t="s">
        <v>920</v>
      </c>
      <c r="DD67" s="58">
        <v>103</v>
      </c>
      <c r="DE67" s="58">
        <v>83</v>
      </c>
      <c r="DF67" s="58">
        <v>68</v>
      </c>
      <c r="DG67" s="58">
        <v>22</v>
      </c>
      <c r="DH67" s="58">
        <v>1</v>
      </c>
      <c r="DI67" s="58" t="s">
        <v>920</v>
      </c>
      <c r="DJ67" s="58">
        <v>52</v>
      </c>
      <c r="DK67" s="58" t="s">
        <v>920</v>
      </c>
      <c r="DL67" s="58">
        <v>96</v>
      </c>
      <c r="DM67" s="58">
        <v>100</v>
      </c>
      <c r="DN67" s="58">
        <v>94</v>
      </c>
      <c r="DO67" s="58">
        <v>54</v>
      </c>
      <c r="DP67" s="58">
        <v>22</v>
      </c>
      <c r="DQ67" s="58">
        <v>78</v>
      </c>
      <c r="DR67" s="58">
        <v>55</v>
      </c>
      <c r="DS67" s="58">
        <v>59</v>
      </c>
      <c r="DT67" s="58">
        <v>17</v>
      </c>
      <c r="DU67" s="58">
        <v>59</v>
      </c>
      <c r="DV67" s="58">
        <v>32</v>
      </c>
      <c r="DW67" s="58">
        <v>25</v>
      </c>
      <c r="DX67" s="58">
        <v>58</v>
      </c>
      <c r="DY67" s="58">
        <v>1</v>
      </c>
      <c r="DZ67" s="58">
        <v>48</v>
      </c>
      <c r="EA67" s="58">
        <v>76</v>
      </c>
      <c r="EB67" s="58">
        <v>77</v>
      </c>
      <c r="EC67" s="58">
        <v>24</v>
      </c>
      <c r="ED67" s="58">
        <v>52</v>
      </c>
      <c r="EE67" s="58">
        <v>52</v>
      </c>
      <c r="EF67" s="58">
        <v>90</v>
      </c>
      <c r="EG67" s="58">
        <v>31</v>
      </c>
      <c r="EH67" s="58">
        <v>21</v>
      </c>
      <c r="EI67" s="58">
        <v>86</v>
      </c>
      <c r="EJ67" s="58">
        <v>52</v>
      </c>
      <c r="EK67" s="58">
        <v>50</v>
      </c>
      <c r="EL67" s="58">
        <v>77</v>
      </c>
      <c r="EM67" s="58">
        <v>81</v>
      </c>
      <c r="EN67" s="58">
        <v>67</v>
      </c>
      <c r="EO67" s="58">
        <v>51</v>
      </c>
      <c r="EP67" s="58">
        <v>60</v>
      </c>
      <c r="EQ67" s="58">
        <v>124</v>
      </c>
    </row>
    <row r="68" spans="1:147" x14ac:dyDescent="0.45">
      <c r="A68" t="s">
        <v>33</v>
      </c>
      <c r="B68" s="59" t="s">
        <v>350</v>
      </c>
      <c r="C68" s="37" t="s">
        <v>34</v>
      </c>
      <c r="D68" s="37" t="s">
        <v>881</v>
      </c>
      <c r="E68" s="104">
        <v>23954.238000000001</v>
      </c>
      <c r="F68" s="104">
        <v>2943000</v>
      </c>
      <c r="G68" s="87">
        <v>50.851487743673303</v>
      </c>
      <c r="H68" s="1" t="s">
        <v>199</v>
      </c>
      <c r="I68" s="58">
        <v>62</v>
      </c>
      <c r="J68" s="87">
        <v>44.983740757561556</v>
      </c>
      <c r="K68" s="87">
        <v>38.414374183943814</v>
      </c>
      <c r="L68" s="87">
        <v>61.388213939678415</v>
      </c>
      <c r="M68" s="87">
        <v>58.619622093509427</v>
      </c>
      <c r="N68" s="58">
        <v>58</v>
      </c>
      <c r="O68" s="58">
        <v>74</v>
      </c>
      <c r="P68" s="58">
        <v>62</v>
      </c>
      <c r="Q68" s="58">
        <v>43</v>
      </c>
      <c r="R68" s="58">
        <v>71.424174092559028</v>
      </c>
      <c r="S68" s="58">
        <v>25.122116606987209</v>
      </c>
      <c r="T68" s="58">
        <v>38.404931573138455</v>
      </c>
      <c r="U68" s="58">
        <v>52.8509676910423</v>
      </c>
      <c r="V68" s="58">
        <v>28.922446904483337</v>
      </c>
      <c r="W68" s="58">
        <v>33.469707956305811</v>
      </c>
      <c r="X68" s="58">
        <v>43.306402614771052</v>
      </c>
      <c r="Y68" s="58">
        <v>63.017355664972548</v>
      </c>
      <c r="Z68" s="58">
        <v>77.840883539291639</v>
      </c>
      <c r="AA68" s="58">
        <v>35.345568329132583</v>
      </c>
      <c r="AB68" s="58">
        <v>66.514770879046921</v>
      </c>
      <c r="AC68" s="58">
        <v>73.998527072348764</v>
      </c>
      <c r="AD68" s="58">
        <v>55</v>
      </c>
      <c r="AE68" s="58">
        <v>64</v>
      </c>
      <c r="AF68" s="58">
        <v>48</v>
      </c>
      <c r="AG68" s="58">
        <v>58</v>
      </c>
      <c r="AH68" s="58">
        <v>71</v>
      </c>
      <c r="AI68" s="58">
        <v>85</v>
      </c>
      <c r="AJ68" s="58">
        <v>92</v>
      </c>
      <c r="AK68" s="58">
        <v>62</v>
      </c>
      <c r="AL68" s="58">
        <v>31</v>
      </c>
      <c r="AM68" s="58">
        <v>54</v>
      </c>
      <c r="AN68" s="58">
        <v>63</v>
      </c>
      <c r="AO68" s="58">
        <v>42</v>
      </c>
      <c r="AP68" s="58">
        <v>75.820118380955407</v>
      </c>
      <c r="AQ68" s="58">
        <v>54.413326996519416</v>
      </c>
      <c r="AR68" s="58">
        <v>30.591415474451978</v>
      </c>
      <c r="AS68" s="58">
        <v>100</v>
      </c>
      <c r="AT68" s="58">
        <v>67.720183703427352</v>
      </c>
      <c r="AU68" s="58">
        <v>100</v>
      </c>
      <c r="AV68" s="58">
        <v>24.057631576467568</v>
      </c>
      <c r="AW68" s="58">
        <v>5.5574070678398622</v>
      </c>
      <c r="AX68" s="58">
        <v>70.251249066694399</v>
      </c>
      <c r="AY68" s="58">
        <v>0.62217871694700544</v>
      </c>
      <c r="AZ68" s="58">
        <v>62.675321597872383</v>
      </c>
      <c r="BA68" s="58">
        <v>46.25</v>
      </c>
      <c r="BB68" s="58" t="s">
        <v>920</v>
      </c>
      <c r="BC68" s="58">
        <v>6.2894731215429767</v>
      </c>
      <c r="BD68" s="58">
        <v>6.3385363821706173</v>
      </c>
      <c r="BE68" s="58">
        <v>47.809158025505766</v>
      </c>
      <c r="BF68" s="58">
        <v>57.50132640907696</v>
      </c>
      <c r="BG68" s="58">
        <v>99.754849947415849</v>
      </c>
      <c r="BH68" s="58" t="s">
        <v>920</v>
      </c>
      <c r="BI68" s="58">
        <v>66.385060633204347</v>
      </c>
      <c r="BJ68" s="58">
        <v>14.634053103866728</v>
      </c>
      <c r="BK68" s="58">
        <v>34.072004719412753</v>
      </c>
      <c r="BL68" s="58">
        <v>0.59866916144952675</v>
      </c>
      <c r="BM68" s="58">
        <v>75.000300766352666</v>
      </c>
      <c r="BN68" s="58">
        <v>18.318274362096616</v>
      </c>
      <c r="BO68" s="58">
        <v>37.789726913843552</v>
      </c>
      <c r="BP68" s="58">
        <v>2.7705297829303879</v>
      </c>
      <c r="BQ68" s="58">
        <v>60.034115956238267</v>
      </c>
      <c r="BR68" s="58">
        <v>44.682510585584382</v>
      </c>
      <c r="BS68" s="58">
        <v>42.599482087047164</v>
      </c>
      <c r="BT68" s="58">
        <v>25.909501830214388</v>
      </c>
      <c r="BU68" s="58">
        <v>43.42042977771046</v>
      </c>
      <c r="BV68" s="58">
        <v>76.562499999853515</v>
      </c>
      <c r="BW68" s="58">
        <v>59.154035191844599</v>
      </c>
      <c r="BX68" s="58">
        <v>75</v>
      </c>
      <c r="BY68" s="58">
        <v>60.949813355454161</v>
      </c>
      <c r="BZ68" s="58">
        <v>84.05628438425731</v>
      </c>
      <c r="CA68" s="58">
        <v>71.715328066442638</v>
      </c>
      <c r="CB68" s="58">
        <v>77.499933528946556</v>
      </c>
      <c r="CC68" s="58">
        <v>78.091988177520051</v>
      </c>
      <c r="CD68" s="58">
        <v>0.14100009325162322</v>
      </c>
      <c r="CE68" s="58">
        <v>39.601106344661915</v>
      </c>
      <c r="CF68" s="58">
        <v>46.057120853940667</v>
      </c>
      <c r="CG68" s="58">
        <v>55.583046024676122</v>
      </c>
      <c r="CH68" s="58">
        <v>49.910634495084899</v>
      </c>
      <c r="CI68" s="58">
        <v>70.572916666666671</v>
      </c>
      <c r="CJ68" s="58">
        <v>91.326530612244909</v>
      </c>
      <c r="CK68" s="58">
        <v>66.794992338533476</v>
      </c>
      <c r="CL68" s="58">
        <v>73.333333333333329</v>
      </c>
      <c r="CM68" s="58" t="s">
        <v>920</v>
      </c>
      <c r="CN68" s="58">
        <v>86.36363636363636</v>
      </c>
      <c r="CO68" s="58">
        <v>75.457481162540361</v>
      </c>
      <c r="CP68" s="58">
        <v>47.015594048405809</v>
      </c>
      <c r="CQ68" s="58">
        <v>48</v>
      </c>
      <c r="CR68" s="58">
        <v>79</v>
      </c>
      <c r="CS68" s="58">
        <v>66</v>
      </c>
      <c r="CT68" s="58">
        <v>1</v>
      </c>
      <c r="CU68" s="58">
        <v>86</v>
      </c>
      <c r="CV68" s="58">
        <v>1</v>
      </c>
      <c r="CW68" s="58">
        <v>40</v>
      </c>
      <c r="CX68" s="58">
        <v>56</v>
      </c>
      <c r="CY68" s="58">
        <v>40</v>
      </c>
      <c r="CZ68" s="58">
        <v>103</v>
      </c>
      <c r="DA68" s="58">
        <v>58</v>
      </c>
      <c r="DB68" s="58">
        <v>51</v>
      </c>
      <c r="DC68" s="58" t="s">
        <v>920</v>
      </c>
      <c r="DD68" s="58">
        <v>90</v>
      </c>
      <c r="DE68" s="58">
        <v>89</v>
      </c>
      <c r="DF68" s="58">
        <v>70</v>
      </c>
      <c r="DG68" s="58">
        <v>79</v>
      </c>
      <c r="DH68" s="58">
        <v>9</v>
      </c>
      <c r="DI68" s="58" t="s">
        <v>920</v>
      </c>
      <c r="DJ68" s="58">
        <v>45</v>
      </c>
      <c r="DK68" s="58">
        <v>38</v>
      </c>
      <c r="DL68" s="58">
        <v>98</v>
      </c>
      <c r="DM68" s="58">
        <v>102</v>
      </c>
      <c r="DN68" s="58">
        <v>53</v>
      </c>
      <c r="DO68" s="58">
        <v>79</v>
      </c>
      <c r="DP68" s="58">
        <v>62</v>
      </c>
      <c r="DQ68" s="58">
        <v>85</v>
      </c>
      <c r="DR68" s="58">
        <v>67</v>
      </c>
      <c r="DS68" s="58">
        <v>108</v>
      </c>
      <c r="DT68" s="58">
        <v>29</v>
      </c>
      <c r="DU68" s="58">
        <v>62</v>
      </c>
      <c r="DV68" s="58">
        <v>71</v>
      </c>
      <c r="DW68" s="58">
        <v>54</v>
      </c>
      <c r="DX68" s="58">
        <v>42</v>
      </c>
      <c r="DY68" s="58">
        <v>72</v>
      </c>
      <c r="DZ68" s="58">
        <v>71</v>
      </c>
      <c r="EA68" s="58">
        <v>27</v>
      </c>
      <c r="EB68" s="58">
        <v>66</v>
      </c>
      <c r="EC68" s="58">
        <v>5</v>
      </c>
      <c r="ED68" s="58">
        <v>18</v>
      </c>
      <c r="EE68" s="58">
        <v>71</v>
      </c>
      <c r="EF68" s="58">
        <v>100</v>
      </c>
      <c r="EG68" s="58">
        <v>53</v>
      </c>
      <c r="EH68" s="58">
        <v>11</v>
      </c>
      <c r="EI68" s="58">
        <v>83</v>
      </c>
      <c r="EJ68" s="58">
        <v>63</v>
      </c>
      <c r="EK68" s="58">
        <v>12</v>
      </c>
      <c r="EL68" s="58">
        <v>60</v>
      </c>
      <c r="EM68" s="58">
        <v>81</v>
      </c>
      <c r="EN68" s="58" t="s">
        <v>920</v>
      </c>
      <c r="EO68" s="58">
        <v>40</v>
      </c>
      <c r="EP68" s="58">
        <v>64</v>
      </c>
      <c r="EQ68" s="58">
        <v>84</v>
      </c>
    </row>
    <row r="69" spans="1:147" x14ac:dyDescent="0.45">
      <c r="A69" t="s">
        <v>88</v>
      </c>
      <c r="B69" s="59" t="s">
        <v>355</v>
      </c>
      <c r="C69" s="37" t="s">
        <v>37</v>
      </c>
      <c r="D69" s="37" t="s">
        <v>881</v>
      </c>
      <c r="E69" s="104">
        <v>22396.001</v>
      </c>
      <c r="F69" s="104">
        <v>52321000</v>
      </c>
      <c r="G69" s="87">
        <v>49.674014916864586</v>
      </c>
      <c r="H69" s="1" t="s">
        <v>204</v>
      </c>
      <c r="I69" s="58">
        <v>63</v>
      </c>
      <c r="J69" s="87">
        <v>43.74363419258983</v>
      </c>
      <c r="K69" s="87">
        <v>47.609533618688289</v>
      </c>
      <c r="L69" s="87">
        <v>54.510762357160324</v>
      </c>
      <c r="M69" s="87">
        <v>52.832129499019892</v>
      </c>
      <c r="N69" s="58">
        <v>63</v>
      </c>
      <c r="O69" s="58">
        <v>39</v>
      </c>
      <c r="P69" s="58">
        <v>78</v>
      </c>
      <c r="Q69" s="58">
        <v>68</v>
      </c>
      <c r="R69" s="58">
        <v>67.305039049920836</v>
      </c>
      <c r="S69" s="58">
        <v>24.606817129662403</v>
      </c>
      <c r="T69" s="58">
        <v>39.319046398186238</v>
      </c>
      <c r="U69" s="58">
        <v>63.140743801562017</v>
      </c>
      <c r="V69" s="58">
        <v>34.718269406125472</v>
      </c>
      <c r="W69" s="58">
        <v>44.96958764837737</v>
      </c>
      <c r="X69" s="58">
        <v>41.992328508156731</v>
      </c>
      <c r="Y69" s="58">
        <v>66.424871070734724</v>
      </c>
      <c r="Z69" s="58">
        <v>55.115087492589517</v>
      </c>
      <c r="AA69" s="58">
        <v>29.11300833581226</v>
      </c>
      <c r="AB69" s="58">
        <v>59.149344690182936</v>
      </c>
      <c r="AC69" s="58">
        <v>70.234035471064487</v>
      </c>
      <c r="AD69" s="58">
        <v>67</v>
      </c>
      <c r="AE69" s="58">
        <v>67</v>
      </c>
      <c r="AF69" s="58">
        <v>46</v>
      </c>
      <c r="AG69" s="58">
        <v>19</v>
      </c>
      <c r="AH69" s="58">
        <v>50</v>
      </c>
      <c r="AI69" s="58">
        <v>55</v>
      </c>
      <c r="AJ69" s="58">
        <v>98</v>
      </c>
      <c r="AK69" s="58">
        <v>53</v>
      </c>
      <c r="AL69" s="58">
        <v>86</v>
      </c>
      <c r="AM69" s="58">
        <v>81</v>
      </c>
      <c r="AN69" s="58">
        <v>84</v>
      </c>
      <c r="AO69" s="58">
        <v>49</v>
      </c>
      <c r="AP69" s="58">
        <v>59.192205618182705</v>
      </c>
      <c r="AQ69" s="58">
        <v>62.975040731449297</v>
      </c>
      <c r="AR69" s="58">
        <v>50.111132845749282</v>
      </c>
      <c r="AS69" s="58">
        <v>100</v>
      </c>
      <c r="AT69" s="58">
        <v>84.383905427630182</v>
      </c>
      <c r="AU69" s="58">
        <v>47.167949676513601</v>
      </c>
      <c r="AV69" s="58">
        <v>8.9740790868157223</v>
      </c>
      <c r="AW69" s="58">
        <v>15.30098814076886</v>
      </c>
      <c r="AX69" s="58">
        <v>61.698094507323965</v>
      </c>
      <c r="AY69" s="58">
        <v>12.454106783741066</v>
      </c>
      <c r="AZ69" s="58">
        <v>67.103899435312897</v>
      </c>
      <c r="BA69" s="58">
        <v>38.749999999999993</v>
      </c>
      <c r="BB69" s="58" t="s">
        <v>920</v>
      </c>
      <c r="BC69" s="58">
        <v>12.103239759245835</v>
      </c>
      <c r="BD69" s="58">
        <v>31.192549332179308</v>
      </c>
      <c r="BE69" s="58">
        <v>56.183299708395538</v>
      </c>
      <c r="BF69" s="58">
        <v>72.349050087698458</v>
      </c>
      <c r="BG69" s="58">
        <v>92.838076077974762</v>
      </c>
      <c r="BH69" s="58" t="s">
        <v>920</v>
      </c>
      <c r="BI69" s="58">
        <v>76.274615898767323</v>
      </c>
      <c r="BJ69" s="58">
        <v>4.1072386861468413</v>
      </c>
      <c r="BK69" s="58" t="s">
        <v>920</v>
      </c>
      <c r="BL69" s="58">
        <v>23.772953633462254</v>
      </c>
      <c r="BM69" s="58">
        <v>70.176008469580481</v>
      </c>
      <c r="BN69" s="58">
        <v>67.920588052649819</v>
      </c>
      <c r="BO69" s="58">
        <v>39.722783381021401</v>
      </c>
      <c r="BP69" s="58">
        <v>2.0589706902577669</v>
      </c>
      <c r="BQ69" s="58">
        <v>56.527685734883804</v>
      </c>
      <c r="BR69" s="58">
        <v>58.821381796441727</v>
      </c>
      <c r="BS69" s="58">
        <v>36.172375889263634</v>
      </c>
      <c r="BT69" s="58">
        <v>16.447870612037782</v>
      </c>
      <c r="BU69" s="58">
        <v>44.75672563950296</v>
      </c>
      <c r="BV69" s="58">
        <v>77.499999999859369</v>
      </c>
      <c r="BW69" s="58">
        <v>47.507613123684997</v>
      </c>
      <c r="BX69" s="58">
        <v>100</v>
      </c>
      <c r="BY69" s="58">
        <v>62.360016590626302</v>
      </c>
      <c r="BZ69" s="58">
        <v>72.460854845535337</v>
      </c>
      <c r="CA69" s="58">
        <v>38.964275568355383</v>
      </c>
      <c r="CB69" s="58">
        <v>72.29665092724828</v>
      </c>
      <c r="CC69" s="58">
        <v>36.738568629219081</v>
      </c>
      <c r="CD69" s="58">
        <v>0.30069471928286279</v>
      </c>
      <c r="CE69" s="58">
        <v>66.778365778642694</v>
      </c>
      <c r="CF69" s="58">
        <v>37.064799881326998</v>
      </c>
      <c r="CG69" s="58">
        <v>12.308172963996498</v>
      </c>
      <c r="CH69" s="58">
        <v>61.304736371760491</v>
      </c>
      <c r="CI69" s="58">
        <v>69.401041666666671</v>
      </c>
      <c r="CJ69" s="58">
        <v>23.214285714285722</v>
      </c>
      <c r="CK69" s="58">
        <v>70.270226349957582</v>
      </c>
      <c r="CL69" s="58">
        <v>100</v>
      </c>
      <c r="CM69" s="58">
        <v>26.235571750196719</v>
      </c>
      <c r="CN69" s="58">
        <v>77.272727272727266</v>
      </c>
      <c r="CO69" s="58">
        <v>90.850376749192677</v>
      </c>
      <c r="CP69" s="58">
        <v>73.154932224282589</v>
      </c>
      <c r="CQ69" s="58">
        <v>80</v>
      </c>
      <c r="CR69" s="58">
        <v>68</v>
      </c>
      <c r="CS69" s="58">
        <v>20</v>
      </c>
      <c r="CT69" s="58">
        <v>1</v>
      </c>
      <c r="CU69" s="58">
        <v>13</v>
      </c>
      <c r="CV69" s="58">
        <v>63</v>
      </c>
      <c r="CW69" s="58">
        <v>57</v>
      </c>
      <c r="CX69" s="58">
        <v>40</v>
      </c>
      <c r="CY69" s="58">
        <v>73</v>
      </c>
      <c r="CZ69" s="58">
        <v>45</v>
      </c>
      <c r="DA69" s="58">
        <v>45</v>
      </c>
      <c r="DB69" s="58">
        <v>65</v>
      </c>
      <c r="DC69" s="58" t="s">
        <v>920</v>
      </c>
      <c r="DD69" s="58">
        <v>78</v>
      </c>
      <c r="DE69" s="58">
        <v>34</v>
      </c>
      <c r="DF69" s="58">
        <v>55</v>
      </c>
      <c r="DG69" s="58">
        <v>58</v>
      </c>
      <c r="DH69" s="58">
        <v>47</v>
      </c>
      <c r="DI69" s="58" t="s">
        <v>920</v>
      </c>
      <c r="DJ69" s="58">
        <v>33</v>
      </c>
      <c r="DK69" s="58">
        <v>68</v>
      </c>
      <c r="DL69" s="58" t="s">
        <v>920</v>
      </c>
      <c r="DM69" s="58">
        <v>34</v>
      </c>
      <c r="DN69" s="58">
        <v>65</v>
      </c>
      <c r="DO69" s="58">
        <v>14</v>
      </c>
      <c r="DP69" s="58">
        <v>54</v>
      </c>
      <c r="DQ69" s="58">
        <v>92</v>
      </c>
      <c r="DR69" s="58">
        <v>72</v>
      </c>
      <c r="DS69" s="58">
        <v>99</v>
      </c>
      <c r="DT69" s="58">
        <v>35</v>
      </c>
      <c r="DU69" s="58">
        <v>81</v>
      </c>
      <c r="DV69" s="58">
        <v>68</v>
      </c>
      <c r="DW69" s="58">
        <v>51</v>
      </c>
      <c r="DX69" s="58">
        <v>55</v>
      </c>
      <c r="DY69" s="58">
        <v>1</v>
      </c>
      <c r="DZ69" s="58">
        <v>65</v>
      </c>
      <c r="EA69" s="58">
        <v>46</v>
      </c>
      <c r="EB69" s="58">
        <v>107</v>
      </c>
      <c r="EC69" s="58">
        <v>10</v>
      </c>
      <c r="ED69" s="58">
        <v>61</v>
      </c>
      <c r="EE69" s="58">
        <v>65</v>
      </c>
      <c r="EF69" s="58">
        <v>31</v>
      </c>
      <c r="EG69" s="58">
        <v>67</v>
      </c>
      <c r="EH69" s="58">
        <v>67</v>
      </c>
      <c r="EI69" s="58">
        <v>59</v>
      </c>
      <c r="EJ69" s="58">
        <v>66</v>
      </c>
      <c r="EK69" s="58">
        <v>110</v>
      </c>
      <c r="EL69" s="58">
        <v>49</v>
      </c>
      <c r="EM69" s="58">
        <v>1</v>
      </c>
      <c r="EN69" s="58">
        <v>61</v>
      </c>
      <c r="EO69" s="58">
        <v>68</v>
      </c>
      <c r="EP69" s="58">
        <v>12</v>
      </c>
      <c r="EQ69" s="58">
        <v>48</v>
      </c>
    </row>
    <row r="70" spans="1:147" x14ac:dyDescent="0.45">
      <c r="A70" t="s">
        <v>86</v>
      </c>
      <c r="B70" s="59" t="s">
        <v>356</v>
      </c>
      <c r="C70" s="37" t="s">
        <v>10</v>
      </c>
      <c r="D70" s="37" t="s">
        <v>881</v>
      </c>
      <c r="E70" s="104">
        <v>34407.847000000002</v>
      </c>
      <c r="F70" s="104">
        <v>634000</v>
      </c>
      <c r="G70" s="87">
        <v>49.203182863652643</v>
      </c>
      <c r="H70" s="1" t="s">
        <v>201</v>
      </c>
      <c r="I70" s="58">
        <v>64</v>
      </c>
      <c r="J70" s="87">
        <v>45.822624800967446</v>
      </c>
      <c r="K70" s="87">
        <v>38.168045615388806</v>
      </c>
      <c r="L70" s="87">
        <v>60.043604407006775</v>
      </c>
      <c r="M70" s="87">
        <v>52.778456631247536</v>
      </c>
      <c r="N70" s="58">
        <v>56</v>
      </c>
      <c r="O70" s="58">
        <v>75</v>
      </c>
      <c r="P70" s="58">
        <v>65</v>
      </c>
      <c r="Q70" s="58">
        <v>69</v>
      </c>
      <c r="R70" s="58">
        <v>55.848436949210054</v>
      </c>
      <c r="S70" s="58">
        <v>52.566843046709423</v>
      </c>
      <c r="T70" s="58">
        <v>29.052594406982877</v>
      </c>
      <c r="U70" s="58">
        <v>55.68242228663869</v>
      </c>
      <c r="V70" s="58">
        <v>34.814200997852708</v>
      </c>
      <c r="W70" s="58">
        <v>24.007513561675022</v>
      </c>
      <c r="X70" s="58">
        <v>46.564418703808904</v>
      </c>
      <c r="Y70" s="58">
        <v>68.107518813928806</v>
      </c>
      <c r="Z70" s="58">
        <v>65.458875703282629</v>
      </c>
      <c r="AA70" s="58">
        <v>30.269188454348914</v>
      </c>
      <c r="AB70" s="58">
        <v>66.218409409310595</v>
      </c>
      <c r="AC70" s="58">
        <v>61.847772030083107</v>
      </c>
      <c r="AD70" s="58">
        <v>97</v>
      </c>
      <c r="AE70" s="58">
        <v>13</v>
      </c>
      <c r="AF70" s="58">
        <v>87</v>
      </c>
      <c r="AG70" s="58">
        <v>44</v>
      </c>
      <c r="AH70" s="58">
        <v>49</v>
      </c>
      <c r="AI70" s="58">
        <v>104</v>
      </c>
      <c r="AJ70" s="58">
        <v>84</v>
      </c>
      <c r="AK70" s="58">
        <v>48</v>
      </c>
      <c r="AL70" s="58">
        <v>60</v>
      </c>
      <c r="AM70" s="58">
        <v>72</v>
      </c>
      <c r="AN70" s="58">
        <v>64</v>
      </c>
      <c r="AO70" s="58">
        <v>70</v>
      </c>
      <c r="AP70" s="58">
        <v>33.9803677979776</v>
      </c>
      <c r="AQ70" s="58">
        <v>74.585366991133512</v>
      </c>
      <c r="AR70" s="58">
        <v>14.097103708921271</v>
      </c>
      <c r="AS70" s="58">
        <v>89.999999999999972</v>
      </c>
      <c r="AT70" s="58">
        <v>66.579346248017956</v>
      </c>
      <c r="AU70" s="58" t="s">
        <v>920</v>
      </c>
      <c r="AV70" s="58">
        <v>30.538329561470679</v>
      </c>
      <c r="AW70" s="58">
        <v>100</v>
      </c>
      <c r="AX70" s="58">
        <v>79.391757782208401</v>
      </c>
      <c r="AY70" s="58">
        <v>0.33728484315862334</v>
      </c>
      <c r="AZ70" s="58" t="s">
        <v>920</v>
      </c>
      <c r="BA70" s="58">
        <v>33.5</v>
      </c>
      <c r="BB70" s="58" t="s">
        <v>920</v>
      </c>
      <c r="BC70" s="58">
        <v>24.605188813965757</v>
      </c>
      <c r="BD70" s="58">
        <v>2.924610881318856</v>
      </c>
      <c r="BE70" s="58" t="s">
        <v>920</v>
      </c>
      <c r="BF70" s="58">
        <v>66.377423763302744</v>
      </c>
      <c r="BG70" s="58">
        <v>97.745232215294465</v>
      </c>
      <c r="BH70" s="58" t="s">
        <v>920</v>
      </c>
      <c r="BI70" s="58">
        <v>71.045655643412189</v>
      </c>
      <c r="BJ70" s="58" t="s">
        <v>920</v>
      </c>
      <c r="BK70" s="58">
        <v>32.147806232159127</v>
      </c>
      <c r="BL70" s="58">
        <v>1.2491411179868095</v>
      </c>
      <c r="BM70" s="58">
        <v>42.423695576328484</v>
      </c>
      <c r="BN70" s="58" t="s">
        <v>920</v>
      </c>
      <c r="BO70" s="58" t="s">
        <v>920</v>
      </c>
      <c r="BP70" s="58">
        <v>5.591331547021559</v>
      </c>
      <c r="BQ70" s="58">
        <v>70.606144040184745</v>
      </c>
      <c r="BR70" s="58">
        <v>69.75334913254936</v>
      </c>
      <c r="BS70" s="58">
        <v>25.309936059838623</v>
      </c>
      <c r="BT70" s="58">
        <v>20.588245582662871</v>
      </c>
      <c r="BU70" s="58">
        <v>51.59262262203552</v>
      </c>
      <c r="BV70" s="58">
        <v>86.874999999917975</v>
      </c>
      <c r="BW70" s="58">
        <v>34.649813836740726</v>
      </c>
      <c r="BX70" s="58">
        <v>100</v>
      </c>
      <c r="BY70" s="58">
        <v>67.420157610949801</v>
      </c>
      <c r="BZ70" s="58">
        <v>47.820567075751164</v>
      </c>
      <c r="CA70" s="58">
        <v>62.287291943436529</v>
      </c>
      <c r="CB70" s="58">
        <v>69.80082799395278</v>
      </c>
      <c r="CC70" s="58">
        <v>81.926815799990052</v>
      </c>
      <c r="CD70" s="58" t="s">
        <v>920</v>
      </c>
      <c r="CE70" s="58">
        <v>25.961421877261802</v>
      </c>
      <c r="CF70" s="58" t="s">
        <v>920</v>
      </c>
      <c r="CG70" s="58">
        <v>34.576955031436022</v>
      </c>
      <c r="CH70" s="58">
        <v>58.46738159070599</v>
      </c>
      <c r="CI70" s="58">
        <v>68.229166666666657</v>
      </c>
      <c r="CJ70" s="58">
        <v>73.214285714285722</v>
      </c>
      <c r="CK70" s="58">
        <v>70.703074226832555</v>
      </c>
      <c r="CL70" s="58">
        <v>82.222222222222214</v>
      </c>
      <c r="CM70" s="58">
        <v>27.79052169580568</v>
      </c>
      <c r="CN70" s="58">
        <v>78.181818181818187</v>
      </c>
      <c r="CO70" s="58">
        <v>80.301399354144237</v>
      </c>
      <c r="CP70" s="58">
        <v>40.012475554906487</v>
      </c>
      <c r="CQ70" s="58">
        <v>114</v>
      </c>
      <c r="CR70" s="58">
        <v>52</v>
      </c>
      <c r="CS70" s="58">
        <v>105</v>
      </c>
      <c r="CT70" s="58">
        <v>82</v>
      </c>
      <c r="CU70" s="58">
        <v>95</v>
      </c>
      <c r="CV70" s="58" t="s">
        <v>920</v>
      </c>
      <c r="CW70" s="58">
        <v>32</v>
      </c>
      <c r="CX70" s="58">
        <v>1</v>
      </c>
      <c r="CY70" s="58">
        <v>8</v>
      </c>
      <c r="CZ70" s="58">
        <v>109</v>
      </c>
      <c r="DA70" s="58" t="s">
        <v>920</v>
      </c>
      <c r="DB70" s="58">
        <v>85</v>
      </c>
      <c r="DC70" s="58" t="s">
        <v>920</v>
      </c>
      <c r="DD70" s="58">
        <v>37</v>
      </c>
      <c r="DE70" s="58">
        <v>108</v>
      </c>
      <c r="DF70" s="58" t="s">
        <v>920</v>
      </c>
      <c r="DG70" s="58">
        <v>68</v>
      </c>
      <c r="DH70" s="58">
        <v>24</v>
      </c>
      <c r="DI70" s="58" t="s">
        <v>920</v>
      </c>
      <c r="DJ70" s="58">
        <v>37</v>
      </c>
      <c r="DK70" s="58" t="s">
        <v>920</v>
      </c>
      <c r="DL70" s="58">
        <v>104</v>
      </c>
      <c r="DM70" s="58">
        <v>90</v>
      </c>
      <c r="DN70" s="58">
        <v>99</v>
      </c>
      <c r="DO70" s="58" t="s">
        <v>920</v>
      </c>
      <c r="DP70" s="58" t="s">
        <v>920</v>
      </c>
      <c r="DQ70" s="58">
        <v>68</v>
      </c>
      <c r="DR70" s="58">
        <v>52</v>
      </c>
      <c r="DS70" s="58">
        <v>89</v>
      </c>
      <c r="DT70" s="58">
        <v>43</v>
      </c>
      <c r="DU70" s="58">
        <v>72</v>
      </c>
      <c r="DV70" s="58">
        <v>52</v>
      </c>
      <c r="DW70" s="58">
        <v>27</v>
      </c>
      <c r="DX70" s="58">
        <v>79</v>
      </c>
      <c r="DY70" s="58">
        <v>1</v>
      </c>
      <c r="DZ70" s="58">
        <v>53</v>
      </c>
      <c r="EA70" s="58">
        <v>83</v>
      </c>
      <c r="EB70" s="58">
        <v>79</v>
      </c>
      <c r="EC70" s="58">
        <v>18</v>
      </c>
      <c r="ED70" s="58">
        <v>11</v>
      </c>
      <c r="EE70" s="58" t="s">
        <v>920</v>
      </c>
      <c r="EF70" s="58">
        <v>124</v>
      </c>
      <c r="EG70" s="58" t="s">
        <v>920</v>
      </c>
      <c r="EH70" s="58">
        <v>25</v>
      </c>
      <c r="EI70" s="58">
        <v>69</v>
      </c>
      <c r="EJ70" s="58">
        <v>68</v>
      </c>
      <c r="EK70" s="58">
        <v>54</v>
      </c>
      <c r="EL70" s="58">
        <v>47</v>
      </c>
      <c r="EM70" s="58">
        <v>69</v>
      </c>
      <c r="EN70" s="58">
        <v>55</v>
      </c>
      <c r="EO70" s="58">
        <v>62</v>
      </c>
      <c r="EP70" s="58">
        <v>46</v>
      </c>
      <c r="EQ70" s="58">
        <v>96</v>
      </c>
    </row>
    <row r="71" spans="1:147" x14ac:dyDescent="0.45">
      <c r="A71" t="s">
        <v>85</v>
      </c>
      <c r="B71" s="59" t="s">
        <v>346</v>
      </c>
      <c r="C71" s="37" t="s">
        <v>34</v>
      </c>
      <c r="D71" s="37" t="s">
        <v>881</v>
      </c>
      <c r="E71" s="104">
        <v>44777.864999999998</v>
      </c>
      <c r="F71" s="104">
        <v>20330000</v>
      </c>
      <c r="G71" s="87">
        <v>49.056881574280467</v>
      </c>
      <c r="H71" s="1" t="s">
        <v>200</v>
      </c>
      <c r="I71" s="58">
        <v>65</v>
      </c>
      <c r="J71" s="87">
        <v>38.932376363824424</v>
      </c>
      <c r="K71" s="87">
        <v>41.084784248246649</v>
      </c>
      <c r="L71" s="87">
        <v>61.401441929862131</v>
      </c>
      <c r="M71" s="87">
        <v>54.808923755188658</v>
      </c>
      <c r="N71" s="58">
        <v>81</v>
      </c>
      <c r="O71" s="58">
        <v>66</v>
      </c>
      <c r="P71" s="58">
        <v>61</v>
      </c>
      <c r="Q71" s="58">
        <v>56</v>
      </c>
      <c r="R71" s="58">
        <v>70.698648709919112</v>
      </c>
      <c r="S71" s="58">
        <v>19.685629622623956</v>
      </c>
      <c r="T71" s="58">
        <v>26.412850758930215</v>
      </c>
      <c r="U71" s="58">
        <v>55.943061907286022</v>
      </c>
      <c r="V71" s="58">
        <v>18.588436554469784</v>
      </c>
      <c r="W71" s="58">
        <v>48.722854282984137</v>
      </c>
      <c r="X71" s="58">
        <v>69.66056985401417</v>
      </c>
      <c r="Y71" s="58">
        <v>37.074260508541478</v>
      </c>
      <c r="Z71" s="58">
        <v>77.469495427030751</v>
      </c>
      <c r="AA71" s="58">
        <v>29.439559008434799</v>
      </c>
      <c r="AB71" s="58">
        <v>74.82826280534097</v>
      </c>
      <c r="AC71" s="58">
        <v>60.158949451790207</v>
      </c>
      <c r="AD71" s="58">
        <v>58</v>
      </c>
      <c r="AE71" s="58">
        <v>83</v>
      </c>
      <c r="AF71" s="58">
        <v>94</v>
      </c>
      <c r="AG71" s="58">
        <v>41</v>
      </c>
      <c r="AH71" s="58">
        <v>113</v>
      </c>
      <c r="AI71" s="58">
        <v>38</v>
      </c>
      <c r="AJ71" s="58">
        <v>49</v>
      </c>
      <c r="AK71" s="58">
        <v>115</v>
      </c>
      <c r="AL71" s="58">
        <v>32</v>
      </c>
      <c r="AM71" s="58">
        <v>78</v>
      </c>
      <c r="AN71" s="58">
        <v>35</v>
      </c>
      <c r="AO71" s="58">
        <v>82</v>
      </c>
      <c r="AP71" s="58">
        <v>86.3814558408436</v>
      </c>
      <c r="AQ71" s="58">
        <v>64.395269222281698</v>
      </c>
      <c r="AR71" s="58">
        <v>37.361661252865126</v>
      </c>
      <c r="AS71" s="58">
        <v>58.947368421052651</v>
      </c>
      <c r="AT71" s="58">
        <v>77.106137522471542</v>
      </c>
      <c r="AU71" s="58">
        <v>100</v>
      </c>
      <c r="AV71" s="58">
        <v>5.3787856649883397</v>
      </c>
      <c r="AW71" s="58">
        <v>2.5900772169067054</v>
      </c>
      <c r="AX71" s="58">
        <v>64.507011016292111</v>
      </c>
      <c r="AY71" s="58">
        <v>6.2666445923086709</v>
      </c>
      <c r="AZ71" s="58">
        <v>41.779828396778669</v>
      </c>
      <c r="BA71" s="58">
        <v>37</v>
      </c>
      <c r="BB71" s="58" t="s">
        <v>920</v>
      </c>
      <c r="BC71" s="58">
        <v>0.45872388001197306</v>
      </c>
      <c r="BD71" s="58">
        <v>33.0855315599729</v>
      </c>
      <c r="BE71" s="58">
        <v>22.157317235694311</v>
      </c>
      <c r="BF71" s="58">
        <v>68.758321910399957</v>
      </c>
      <c r="BG71" s="58">
        <v>99.771076923076919</v>
      </c>
      <c r="BH71" s="58" t="s">
        <v>920</v>
      </c>
      <c r="BI71" s="58">
        <v>24.89439773745163</v>
      </c>
      <c r="BJ71" s="58">
        <v>0.80634182592719206</v>
      </c>
      <c r="BK71" s="58">
        <v>45.102294693694503</v>
      </c>
      <c r="BL71" s="58">
        <v>3.55071196080582</v>
      </c>
      <c r="BM71" s="58">
        <v>92.664910191167095</v>
      </c>
      <c r="BN71" s="58">
        <v>54.054243293651361</v>
      </c>
      <c r="BO71" s="58">
        <v>45.976303661592453</v>
      </c>
      <c r="BP71" s="58">
        <v>2.1959599855256271</v>
      </c>
      <c r="BQ71" s="58">
        <v>71.202237980850839</v>
      </c>
      <c r="BR71" s="58">
        <v>92.855184907302075</v>
      </c>
      <c r="BS71" s="58">
        <v>65.524418455776171</v>
      </c>
      <c r="BT71" s="58">
        <v>49.060438072127546</v>
      </c>
      <c r="BU71" s="58">
        <v>43.878868526221787</v>
      </c>
      <c r="BV71" s="58">
        <v>2.4999999993906226</v>
      </c>
      <c r="BW71" s="58">
        <v>41.429182254340915</v>
      </c>
      <c r="BX71" s="58">
        <v>75</v>
      </c>
      <c r="BY71" s="58">
        <v>22.563251762754042</v>
      </c>
      <c r="BZ71" s="58">
        <v>84.05628438425731</v>
      </c>
      <c r="CA71" s="58">
        <v>87.29262360380055</v>
      </c>
      <c r="CB71" s="58">
        <v>64.76596156565715</v>
      </c>
      <c r="CC71" s="58">
        <v>73.763112154407978</v>
      </c>
      <c r="CD71" s="58">
        <v>0.48602462174089445</v>
      </c>
      <c r="CE71" s="58">
        <v>63.840845473112182</v>
      </c>
      <c r="CF71" s="58">
        <v>46.788411706966052</v>
      </c>
      <c r="CG71" s="58">
        <v>6.6429542319200774</v>
      </c>
      <c r="CH71" s="58">
        <v>69.660411081322621</v>
      </c>
      <c r="CI71" s="58">
        <v>82.552083333333343</v>
      </c>
      <c r="CJ71" s="58">
        <v>86.224489795918373</v>
      </c>
      <c r="CK71" s="58">
        <v>58.320098206815516</v>
      </c>
      <c r="CL71" s="58">
        <v>100</v>
      </c>
      <c r="CM71" s="58">
        <v>30.707163010775933</v>
      </c>
      <c r="CN71" s="58">
        <v>64.545454545454547</v>
      </c>
      <c r="CO71" s="58">
        <v>61.571582346609247</v>
      </c>
      <c r="CP71" s="58">
        <v>67.623195808642194</v>
      </c>
      <c r="CQ71" s="58">
        <v>20</v>
      </c>
      <c r="CR71" s="58">
        <v>64</v>
      </c>
      <c r="CS71" s="58">
        <v>47</v>
      </c>
      <c r="CT71" s="58">
        <v>108</v>
      </c>
      <c r="CU71" s="58">
        <v>34</v>
      </c>
      <c r="CV71" s="58">
        <v>1</v>
      </c>
      <c r="CW71" s="58">
        <v>72</v>
      </c>
      <c r="CX71" s="58">
        <v>74</v>
      </c>
      <c r="CY71" s="58">
        <v>65</v>
      </c>
      <c r="CZ71" s="58">
        <v>60</v>
      </c>
      <c r="DA71" s="58">
        <v>91</v>
      </c>
      <c r="DB71" s="58">
        <v>72</v>
      </c>
      <c r="DC71" s="58" t="s">
        <v>920</v>
      </c>
      <c r="DD71" s="58">
        <v>125</v>
      </c>
      <c r="DE71" s="58">
        <v>29</v>
      </c>
      <c r="DF71" s="58">
        <v>107</v>
      </c>
      <c r="DG71" s="58">
        <v>65</v>
      </c>
      <c r="DH71" s="58">
        <v>8</v>
      </c>
      <c r="DI71" s="58" t="s">
        <v>920</v>
      </c>
      <c r="DJ71" s="58">
        <v>100</v>
      </c>
      <c r="DK71" s="58">
        <v>89</v>
      </c>
      <c r="DL71" s="58">
        <v>51</v>
      </c>
      <c r="DM71" s="58">
        <v>71</v>
      </c>
      <c r="DN71" s="58">
        <v>10</v>
      </c>
      <c r="DO71" s="58">
        <v>25</v>
      </c>
      <c r="DP71" s="58">
        <v>41</v>
      </c>
      <c r="DQ71" s="58">
        <v>90</v>
      </c>
      <c r="DR71" s="58">
        <v>51</v>
      </c>
      <c r="DS71" s="58">
        <v>49</v>
      </c>
      <c r="DT71" s="58">
        <v>11</v>
      </c>
      <c r="DU71" s="58">
        <v>46</v>
      </c>
      <c r="DV71" s="58">
        <v>70</v>
      </c>
      <c r="DW71" s="58">
        <v>125</v>
      </c>
      <c r="DX71" s="58">
        <v>72</v>
      </c>
      <c r="DY71" s="58">
        <v>72</v>
      </c>
      <c r="DZ71" s="58">
        <v>118</v>
      </c>
      <c r="EA71" s="58">
        <v>27</v>
      </c>
      <c r="EB71" s="58">
        <v>36</v>
      </c>
      <c r="EC71" s="58">
        <v>56</v>
      </c>
      <c r="ED71" s="58">
        <v>23</v>
      </c>
      <c r="EE71" s="58">
        <v>60</v>
      </c>
      <c r="EF71" s="58">
        <v>38</v>
      </c>
      <c r="EG71" s="58">
        <v>52</v>
      </c>
      <c r="EH71" s="58">
        <v>87</v>
      </c>
      <c r="EI71" s="58">
        <v>40</v>
      </c>
      <c r="EJ71" s="58">
        <v>37</v>
      </c>
      <c r="EK71" s="58">
        <v>18</v>
      </c>
      <c r="EL71" s="58">
        <v>84</v>
      </c>
      <c r="EM71" s="58">
        <v>1</v>
      </c>
      <c r="EN71" s="58">
        <v>52</v>
      </c>
      <c r="EO71" s="58">
        <v>97</v>
      </c>
      <c r="EP71" s="58">
        <v>99</v>
      </c>
      <c r="EQ71" s="58">
        <v>55</v>
      </c>
    </row>
    <row r="72" spans="1:147" x14ac:dyDescent="0.45">
      <c r="A72" t="s">
        <v>100</v>
      </c>
      <c r="B72" s="59" t="s">
        <v>362</v>
      </c>
      <c r="C72" s="37" t="s">
        <v>31</v>
      </c>
      <c r="D72" s="37" t="s">
        <v>882</v>
      </c>
      <c r="E72" s="104">
        <v>12920.041999999999</v>
      </c>
      <c r="F72" s="104">
        <v>114891000</v>
      </c>
      <c r="G72" s="87">
        <v>48.894877992294312</v>
      </c>
      <c r="H72" s="1" t="s">
        <v>222</v>
      </c>
      <c r="I72" s="58">
        <v>66</v>
      </c>
      <c r="J72" s="87">
        <v>40.775760196638025</v>
      </c>
      <c r="K72" s="87">
        <v>49.164289450063812</v>
      </c>
      <c r="L72" s="87">
        <v>50.218491523070973</v>
      </c>
      <c r="M72" s="87">
        <v>55.420970799404436</v>
      </c>
      <c r="N72" s="58">
        <v>74</v>
      </c>
      <c r="O72" s="58">
        <v>33</v>
      </c>
      <c r="P72" s="58">
        <v>92</v>
      </c>
      <c r="Q72" s="58">
        <v>53</v>
      </c>
      <c r="R72" s="58">
        <v>60.412672624044376</v>
      </c>
      <c r="S72" s="58">
        <v>25.059045406628801</v>
      </c>
      <c r="T72" s="58">
        <v>36.855562559240902</v>
      </c>
      <c r="U72" s="58">
        <v>73.775791021627541</v>
      </c>
      <c r="V72" s="58">
        <v>27.562638952981143</v>
      </c>
      <c r="W72" s="58">
        <v>46.154438375582728</v>
      </c>
      <c r="X72" s="58">
        <v>43.799401667972305</v>
      </c>
      <c r="Y72" s="58">
        <v>59.537134438498313</v>
      </c>
      <c r="Z72" s="58">
        <v>47.318938462742288</v>
      </c>
      <c r="AA72" s="58">
        <v>44.088596989623511</v>
      </c>
      <c r="AB72" s="58">
        <v>70.734453771926084</v>
      </c>
      <c r="AC72" s="58">
        <v>51.4398616366637</v>
      </c>
      <c r="AD72" s="58">
        <v>84</v>
      </c>
      <c r="AE72" s="58">
        <v>65</v>
      </c>
      <c r="AF72" s="58">
        <v>55</v>
      </c>
      <c r="AG72" s="58">
        <v>5</v>
      </c>
      <c r="AH72" s="58">
        <v>76</v>
      </c>
      <c r="AI72" s="58">
        <v>47</v>
      </c>
      <c r="AJ72" s="58">
        <v>90</v>
      </c>
      <c r="AK72" s="58">
        <v>71</v>
      </c>
      <c r="AL72" s="58">
        <v>104</v>
      </c>
      <c r="AM72" s="58">
        <v>31</v>
      </c>
      <c r="AN72" s="58">
        <v>46</v>
      </c>
      <c r="AO72" s="58">
        <v>99</v>
      </c>
      <c r="AP72" s="58">
        <v>67.835405260964293</v>
      </c>
      <c r="AQ72" s="58">
        <v>33.287665537693485</v>
      </c>
      <c r="AR72" s="58" t="s">
        <v>920</v>
      </c>
      <c r="AS72" s="58">
        <v>93.105263157894726</v>
      </c>
      <c r="AT72" s="58">
        <v>72.743436586546721</v>
      </c>
      <c r="AU72" s="58">
        <v>35.091592577122697</v>
      </c>
      <c r="AV72" s="58">
        <v>4.9068511901058391</v>
      </c>
      <c r="AW72" s="58">
        <v>0.82675625096909899</v>
      </c>
      <c r="AX72" s="58">
        <v>67.818838815892292</v>
      </c>
      <c r="AY72" s="58">
        <v>26.683735369547971</v>
      </c>
      <c r="AZ72" s="58">
        <v>64.903931874050272</v>
      </c>
      <c r="BA72" s="58">
        <v>61.000000000000007</v>
      </c>
      <c r="BB72" s="58">
        <v>0.6828413915722723</v>
      </c>
      <c r="BC72" s="58">
        <v>20.83547697134107</v>
      </c>
      <c r="BD72" s="58">
        <v>43.438873408355391</v>
      </c>
      <c r="BE72" s="58">
        <v>76.924963712763926</v>
      </c>
      <c r="BF72" s="58">
        <v>77.816250042313925</v>
      </c>
      <c r="BG72" s="58">
        <v>96.92307692307692</v>
      </c>
      <c r="BH72" s="58" t="s">
        <v>920</v>
      </c>
      <c r="BI72" s="58">
        <v>62.861196113291093</v>
      </c>
      <c r="BJ72" s="58">
        <v>1.5803886410358903</v>
      </c>
      <c r="BK72" s="58" t="s">
        <v>920</v>
      </c>
      <c r="BL72" s="58">
        <v>18.246332104616446</v>
      </c>
      <c r="BM72" s="58">
        <v>76.591956304664279</v>
      </c>
      <c r="BN72" s="58">
        <v>25.58916155183676</v>
      </c>
      <c r="BO72" s="58">
        <v>77.441165941958246</v>
      </c>
      <c r="BP72" s="58">
        <v>4.995469703871632</v>
      </c>
      <c r="BQ72" s="58">
        <v>38.691360893870517</v>
      </c>
      <c r="BR72" s="58">
        <v>92.171252196720005</v>
      </c>
      <c r="BS72" s="58">
        <v>13.20874976664539</v>
      </c>
      <c r="BT72" s="58">
        <v>31.126243814653336</v>
      </c>
      <c r="BU72" s="58">
        <v>46.338799410120444</v>
      </c>
      <c r="BV72" s="58">
        <v>60.937499999818343</v>
      </c>
      <c r="BW72" s="58">
        <v>25.788883359077019</v>
      </c>
      <c r="BX72" s="58">
        <v>100</v>
      </c>
      <c r="BY72" s="58">
        <v>64.620489423475732</v>
      </c>
      <c r="BZ72" s="58">
        <v>71.011426153195089</v>
      </c>
      <c r="CA72" s="58">
        <v>25.266372358082755</v>
      </c>
      <c r="CB72" s="58">
        <v>67.625386807673991</v>
      </c>
      <c r="CC72" s="58">
        <v>25.372568532017308</v>
      </c>
      <c r="CD72" s="58">
        <v>0.12228420313452529</v>
      </c>
      <c r="CE72" s="58">
        <v>68.598584138578317</v>
      </c>
      <c r="CF72" s="58">
        <v>66.561354892263225</v>
      </c>
      <c r="CG72" s="58">
        <v>41.072164724517975</v>
      </c>
      <c r="CH72" s="58">
        <v>63.605898123324408</v>
      </c>
      <c r="CI72" s="58">
        <v>94.010416666666657</v>
      </c>
      <c r="CJ72" s="58">
        <v>60.459183673469404</v>
      </c>
      <c r="CK72" s="58">
        <v>48.714909378105006</v>
      </c>
      <c r="CL72" s="58">
        <v>51.111111111111107</v>
      </c>
      <c r="CM72" s="58">
        <v>6.2217402397595443</v>
      </c>
      <c r="CN72" s="58">
        <v>69.090909090909093</v>
      </c>
      <c r="CO72" s="58">
        <v>83.207750269106569</v>
      </c>
      <c r="CP72" s="58">
        <v>43.366982782648108</v>
      </c>
      <c r="CQ72" s="58">
        <v>62</v>
      </c>
      <c r="CR72" s="58">
        <v>111</v>
      </c>
      <c r="CS72" s="58" t="s">
        <v>920</v>
      </c>
      <c r="CT72" s="58">
        <v>76</v>
      </c>
      <c r="CU72" s="58">
        <v>57</v>
      </c>
      <c r="CV72" s="58">
        <v>70</v>
      </c>
      <c r="CW72" s="58">
        <v>76</v>
      </c>
      <c r="CX72" s="58">
        <v>100</v>
      </c>
      <c r="CY72" s="58">
        <v>52</v>
      </c>
      <c r="CZ72" s="58">
        <v>32</v>
      </c>
      <c r="DA72" s="58">
        <v>53</v>
      </c>
      <c r="DB72" s="58">
        <v>31</v>
      </c>
      <c r="DC72" s="58">
        <v>50</v>
      </c>
      <c r="DD72" s="58">
        <v>50</v>
      </c>
      <c r="DE72" s="58">
        <v>18</v>
      </c>
      <c r="DF72" s="58">
        <v>18</v>
      </c>
      <c r="DG72" s="58">
        <v>37</v>
      </c>
      <c r="DH72" s="58">
        <v>28</v>
      </c>
      <c r="DI72" s="58" t="s">
        <v>920</v>
      </c>
      <c r="DJ72" s="58">
        <v>47</v>
      </c>
      <c r="DK72" s="58">
        <v>84</v>
      </c>
      <c r="DL72" s="58" t="s">
        <v>920</v>
      </c>
      <c r="DM72" s="58">
        <v>42</v>
      </c>
      <c r="DN72" s="58">
        <v>49</v>
      </c>
      <c r="DO72" s="58">
        <v>66</v>
      </c>
      <c r="DP72" s="58">
        <v>14</v>
      </c>
      <c r="DQ72" s="58">
        <v>71</v>
      </c>
      <c r="DR72" s="58">
        <v>102</v>
      </c>
      <c r="DS72" s="58">
        <v>53</v>
      </c>
      <c r="DT72" s="58">
        <v>51</v>
      </c>
      <c r="DU72" s="58">
        <v>58</v>
      </c>
      <c r="DV72" s="58">
        <v>62</v>
      </c>
      <c r="DW72" s="58">
        <v>81</v>
      </c>
      <c r="DX72" s="58">
        <v>93</v>
      </c>
      <c r="DY72" s="58">
        <v>1</v>
      </c>
      <c r="DZ72" s="58">
        <v>59</v>
      </c>
      <c r="EA72" s="58">
        <v>49</v>
      </c>
      <c r="EB72" s="58">
        <v>118</v>
      </c>
      <c r="EC72" s="58">
        <v>37</v>
      </c>
      <c r="ED72" s="58">
        <v>69</v>
      </c>
      <c r="EE72" s="58">
        <v>74</v>
      </c>
      <c r="EF72" s="58">
        <v>29</v>
      </c>
      <c r="EG72" s="58">
        <v>26</v>
      </c>
      <c r="EH72" s="58">
        <v>20</v>
      </c>
      <c r="EI72" s="58">
        <v>55</v>
      </c>
      <c r="EJ72" s="58">
        <v>8</v>
      </c>
      <c r="EK72" s="58">
        <v>78</v>
      </c>
      <c r="EL72" s="58">
        <v>101</v>
      </c>
      <c r="EM72" s="58">
        <v>97</v>
      </c>
      <c r="EN72" s="58">
        <v>80</v>
      </c>
      <c r="EO72" s="58">
        <v>91</v>
      </c>
      <c r="EP72" s="58">
        <v>38</v>
      </c>
      <c r="EQ72" s="58">
        <v>91</v>
      </c>
    </row>
    <row r="73" spans="1:147" x14ac:dyDescent="0.45">
      <c r="A73" t="s">
        <v>84</v>
      </c>
      <c r="B73" s="59" t="s">
        <v>349</v>
      </c>
      <c r="C73" s="37" t="s">
        <v>37</v>
      </c>
      <c r="D73" s="37" t="s">
        <v>881</v>
      </c>
      <c r="E73" s="104">
        <v>25770.388999999999</v>
      </c>
      <c r="F73" s="104">
        <v>129740000</v>
      </c>
      <c r="G73" s="87">
        <v>48.293415107062799</v>
      </c>
      <c r="H73" s="1" t="s">
        <v>198</v>
      </c>
      <c r="I73" s="58">
        <v>67</v>
      </c>
      <c r="J73" s="87">
        <v>40.552775119796955</v>
      </c>
      <c r="K73" s="87">
        <v>42.651380685814715</v>
      </c>
      <c r="L73" s="87">
        <v>53.131660748778955</v>
      </c>
      <c r="M73" s="87">
        <v>56.837843873860571</v>
      </c>
      <c r="N73" s="58">
        <v>77</v>
      </c>
      <c r="O73" s="58">
        <v>58</v>
      </c>
      <c r="P73" s="58">
        <v>81</v>
      </c>
      <c r="Q73" s="58">
        <v>48</v>
      </c>
      <c r="R73" s="58">
        <v>66.906219975450171</v>
      </c>
      <c r="S73" s="58">
        <v>24.17394934779918</v>
      </c>
      <c r="T73" s="58">
        <v>30.578156036141525</v>
      </c>
      <c r="U73" s="58">
        <v>49.000661533444273</v>
      </c>
      <c r="V73" s="58">
        <v>43.937826934530278</v>
      </c>
      <c r="W73" s="58">
        <v>35.015653589469593</v>
      </c>
      <c r="X73" s="58">
        <v>48.311345052679272</v>
      </c>
      <c r="Y73" s="58">
        <v>62.02262512975345</v>
      </c>
      <c r="Z73" s="58">
        <v>49.061012063904137</v>
      </c>
      <c r="AA73" s="58">
        <v>28.465590196577352</v>
      </c>
      <c r="AB73" s="58">
        <v>73.1989023778019</v>
      </c>
      <c r="AC73" s="58">
        <v>68.849039047202467</v>
      </c>
      <c r="AD73" s="58">
        <v>70</v>
      </c>
      <c r="AE73" s="58">
        <v>68</v>
      </c>
      <c r="AF73" s="58">
        <v>81</v>
      </c>
      <c r="AG73" s="58">
        <v>75</v>
      </c>
      <c r="AH73" s="58">
        <v>33</v>
      </c>
      <c r="AI73" s="58">
        <v>83</v>
      </c>
      <c r="AJ73" s="58">
        <v>76</v>
      </c>
      <c r="AK73" s="58">
        <v>67</v>
      </c>
      <c r="AL73" s="58">
        <v>101</v>
      </c>
      <c r="AM73" s="58">
        <v>83</v>
      </c>
      <c r="AN73" s="58">
        <v>39</v>
      </c>
      <c r="AO73" s="58">
        <v>51</v>
      </c>
      <c r="AP73" s="58">
        <v>54.892146736569799</v>
      </c>
      <c r="AQ73" s="58">
        <v>87.967649373589936</v>
      </c>
      <c r="AR73" s="58">
        <v>65.067645863123829</v>
      </c>
      <c r="AS73" s="58">
        <v>86.315789473683708</v>
      </c>
      <c r="AT73" s="58">
        <v>77.579357570772885</v>
      </c>
      <c r="AU73" s="58">
        <v>29.614730834960902</v>
      </c>
      <c r="AV73" s="58">
        <v>4.2139909852279747</v>
      </c>
      <c r="AW73" s="58">
        <v>3.8658524910267009</v>
      </c>
      <c r="AX73" s="58">
        <v>61.645481455684113</v>
      </c>
      <c r="AY73" s="58">
        <v>26.970472459257937</v>
      </c>
      <c r="AZ73" s="58">
        <v>59.509093774408129</v>
      </c>
      <c r="BA73" s="58">
        <v>39.75</v>
      </c>
      <c r="BB73" s="58">
        <v>7.4332872266351533</v>
      </c>
      <c r="BC73" s="58">
        <v>15.62024314352281</v>
      </c>
      <c r="BD73" s="58">
        <v>35.514351455020147</v>
      </c>
      <c r="BE73" s="58">
        <v>40.046525785827768</v>
      </c>
      <c r="BF73" s="58">
        <v>72.549304465765715</v>
      </c>
      <c r="BG73" s="58">
        <v>93.698602286905526</v>
      </c>
      <c r="BH73" s="58">
        <v>3.1945236737022231</v>
      </c>
      <c r="BI73" s="58">
        <v>77.866038585179751</v>
      </c>
      <c r="BJ73" s="58">
        <v>3.0912844671968296</v>
      </c>
      <c r="BK73" s="58">
        <v>57.385793151786935</v>
      </c>
      <c r="BL73" s="58">
        <v>37.408191533957577</v>
      </c>
      <c r="BM73" s="58">
        <v>71.566752084310821</v>
      </c>
      <c r="BN73" s="58">
        <v>43.043866825808919</v>
      </c>
      <c r="BO73" s="58">
        <v>21.308680730265777</v>
      </c>
      <c r="BP73" s="58">
        <v>4.1433147174928449</v>
      </c>
      <c r="BQ73" s="58">
        <v>50.403931637423703</v>
      </c>
      <c r="BR73" s="58">
        <v>82.893618149184121</v>
      </c>
      <c r="BS73" s="58">
        <v>38.146201674695199</v>
      </c>
      <c r="BT73" s="58">
        <v>21.801628749414093</v>
      </c>
      <c r="BU73" s="58">
        <v>37.924439780627381</v>
      </c>
      <c r="BV73" s="58">
        <v>47.499999999671871</v>
      </c>
      <c r="BW73" s="58">
        <v>40.781593375726409</v>
      </c>
      <c r="BX73" s="58">
        <v>100</v>
      </c>
      <c r="BY73" s="58">
        <v>83.907092492741612</v>
      </c>
      <c r="BZ73" s="58">
        <v>72.460854845535337</v>
      </c>
      <c r="CA73" s="58">
        <v>39.507740471075209</v>
      </c>
      <c r="CB73" s="58">
        <v>68.809202147344038</v>
      </c>
      <c r="CC73" s="58">
        <v>15.466250791661976</v>
      </c>
      <c r="CD73" s="58">
        <v>0.29725553106862046</v>
      </c>
      <c r="CE73" s="58">
        <v>77.003769314982634</v>
      </c>
      <c r="CF73" s="58">
        <v>35.347197454842721</v>
      </c>
      <c r="CG73" s="58">
        <v>1.2141384854154518</v>
      </c>
      <c r="CH73" s="58">
        <v>83.0875781948168</v>
      </c>
      <c r="CI73" s="58">
        <v>82.682291666666657</v>
      </c>
      <c r="CJ73" s="58">
        <v>49.744897959183675</v>
      </c>
      <c r="CK73" s="58">
        <v>57.908776584660728</v>
      </c>
      <c r="CL73" s="58">
        <v>88.888888888888886</v>
      </c>
      <c r="CM73" s="58">
        <v>28.690653132322829</v>
      </c>
      <c r="CN73" s="58">
        <v>83.636363636363626</v>
      </c>
      <c r="CO73" s="58">
        <v>79.870828848223894</v>
      </c>
      <c r="CP73" s="58">
        <v>77.507732254910195</v>
      </c>
      <c r="CQ73" s="58">
        <v>87</v>
      </c>
      <c r="CR73" s="58">
        <v>35</v>
      </c>
      <c r="CS73" s="58">
        <v>10</v>
      </c>
      <c r="CT73" s="58">
        <v>89</v>
      </c>
      <c r="CU73" s="58">
        <v>29</v>
      </c>
      <c r="CV73" s="58">
        <v>75</v>
      </c>
      <c r="CW73" s="58">
        <v>83</v>
      </c>
      <c r="CX73" s="58">
        <v>66</v>
      </c>
      <c r="CY73" s="58">
        <v>74</v>
      </c>
      <c r="CZ73" s="58">
        <v>30</v>
      </c>
      <c r="DA73" s="58">
        <v>67</v>
      </c>
      <c r="DB73" s="58">
        <v>63</v>
      </c>
      <c r="DC73" s="58">
        <v>33</v>
      </c>
      <c r="DD73" s="58">
        <v>70</v>
      </c>
      <c r="DE73" s="58">
        <v>27</v>
      </c>
      <c r="DF73" s="58">
        <v>85</v>
      </c>
      <c r="DG73" s="58">
        <v>57</v>
      </c>
      <c r="DH73" s="58">
        <v>46</v>
      </c>
      <c r="DI73" s="58">
        <v>46</v>
      </c>
      <c r="DJ73" s="58">
        <v>31</v>
      </c>
      <c r="DK73" s="58">
        <v>74</v>
      </c>
      <c r="DL73" s="58">
        <v>19</v>
      </c>
      <c r="DM73" s="58">
        <v>16</v>
      </c>
      <c r="DN73" s="58">
        <v>60</v>
      </c>
      <c r="DO73" s="58">
        <v>41</v>
      </c>
      <c r="DP73" s="58">
        <v>93</v>
      </c>
      <c r="DQ73" s="58">
        <v>77</v>
      </c>
      <c r="DR73" s="58">
        <v>82</v>
      </c>
      <c r="DS73" s="58">
        <v>74</v>
      </c>
      <c r="DT73" s="58">
        <v>32</v>
      </c>
      <c r="DU73" s="58">
        <v>69</v>
      </c>
      <c r="DV73" s="58">
        <v>80</v>
      </c>
      <c r="DW73" s="58">
        <v>99</v>
      </c>
      <c r="DX73" s="58">
        <v>73</v>
      </c>
      <c r="DY73" s="58">
        <v>1</v>
      </c>
      <c r="DZ73" s="58">
        <v>22</v>
      </c>
      <c r="EA73" s="58">
        <v>46</v>
      </c>
      <c r="EB73" s="58">
        <v>106</v>
      </c>
      <c r="EC73" s="58">
        <v>26</v>
      </c>
      <c r="ED73" s="58">
        <v>75</v>
      </c>
      <c r="EE73" s="58">
        <v>66</v>
      </c>
      <c r="EF73" s="58">
        <v>13</v>
      </c>
      <c r="EG73" s="58">
        <v>69</v>
      </c>
      <c r="EH73" s="58">
        <v>120</v>
      </c>
      <c r="EI73" s="58">
        <v>10</v>
      </c>
      <c r="EJ73" s="58">
        <v>35</v>
      </c>
      <c r="EK73" s="58">
        <v>94</v>
      </c>
      <c r="EL73" s="58">
        <v>86</v>
      </c>
      <c r="EM73" s="58">
        <v>58</v>
      </c>
      <c r="EN73" s="58">
        <v>53</v>
      </c>
      <c r="EO73" s="58">
        <v>47</v>
      </c>
      <c r="EP73" s="58">
        <v>49</v>
      </c>
      <c r="EQ73" s="58">
        <v>37</v>
      </c>
    </row>
    <row r="74" spans="1:147" x14ac:dyDescent="0.45">
      <c r="A74" t="s">
        <v>83</v>
      </c>
      <c r="B74" s="59" t="s">
        <v>345</v>
      </c>
      <c r="C74" s="37" t="s">
        <v>37</v>
      </c>
      <c r="D74" s="37" t="s">
        <v>881</v>
      </c>
      <c r="E74" s="104">
        <v>31311.010999999999</v>
      </c>
      <c r="F74" s="104">
        <v>45538000</v>
      </c>
      <c r="G74" s="87">
        <v>48.141052918344542</v>
      </c>
      <c r="H74" s="1" t="s">
        <v>197</v>
      </c>
      <c r="I74" s="58">
        <v>68</v>
      </c>
      <c r="J74" s="87">
        <v>40.821538589516358</v>
      </c>
      <c r="K74" s="87">
        <v>37.582657259352089</v>
      </c>
      <c r="L74" s="87">
        <v>58.372000134558327</v>
      </c>
      <c r="M74" s="87">
        <v>55.788015689951372</v>
      </c>
      <c r="N74" s="58">
        <v>73</v>
      </c>
      <c r="O74" s="58">
        <v>78</v>
      </c>
      <c r="P74" s="58">
        <v>69</v>
      </c>
      <c r="Q74" s="58">
        <v>51</v>
      </c>
      <c r="R74" s="58">
        <v>68.643291424425414</v>
      </c>
      <c r="S74" s="58">
        <v>22.90942843316293</v>
      </c>
      <c r="T74" s="58">
        <v>30.911895910960716</v>
      </c>
      <c r="U74" s="58">
        <v>38.818709361456769</v>
      </c>
      <c r="V74" s="58">
        <v>35.928503928200712</v>
      </c>
      <c r="W74" s="58">
        <v>38.000758488398795</v>
      </c>
      <c r="X74" s="58">
        <v>48.833341306006957</v>
      </c>
      <c r="Y74" s="58">
        <v>63.465643278093481</v>
      </c>
      <c r="Z74" s="58">
        <v>62.817015819574536</v>
      </c>
      <c r="AA74" s="58">
        <v>33.590639417608926</v>
      </c>
      <c r="AB74" s="58">
        <v>68.87493149911414</v>
      </c>
      <c r="AC74" s="58">
        <v>64.898476153131043</v>
      </c>
      <c r="AD74" s="58">
        <v>64</v>
      </c>
      <c r="AE74" s="58">
        <v>71</v>
      </c>
      <c r="AF74" s="58">
        <v>79</v>
      </c>
      <c r="AG74" s="58">
        <v>99</v>
      </c>
      <c r="AH74" s="58">
        <v>45</v>
      </c>
      <c r="AI74" s="58">
        <v>69</v>
      </c>
      <c r="AJ74" s="58">
        <v>73</v>
      </c>
      <c r="AK74" s="58">
        <v>61</v>
      </c>
      <c r="AL74" s="58">
        <v>68</v>
      </c>
      <c r="AM74" s="58">
        <v>59</v>
      </c>
      <c r="AN74" s="58">
        <v>54</v>
      </c>
      <c r="AO74" s="58">
        <v>62</v>
      </c>
      <c r="AP74" s="58">
        <v>86.361185274999599</v>
      </c>
      <c r="AQ74" s="58">
        <v>49.007371110042179</v>
      </c>
      <c r="AR74" s="58">
        <v>48.485290855272154</v>
      </c>
      <c r="AS74" s="58">
        <v>92.10526315789474</v>
      </c>
      <c r="AT74" s="58">
        <v>73.519866511381053</v>
      </c>
      <c r="AU74" s="58">
        <v>62.380771636962798</v>
      </c>
      <c r="AV74" s="58">
        <v>15.861343743735645</v>
      </c>
      <c r="AW74" s="58">
        <v>4.9071945020990269</v>
      </c>
      <c r="AX74" s="58">
        <v>67.526549563548215</v>
      </c>
      <c r="AY74" s="58">
        <v>3.3426259232688271</v>
      </c>
      <c r="AZ74" s="58">
        <v>64.714475844068602</v>
      </c>
      <c r="BA74" s="58">
        <v>34.5</v>
      </c>
      <c r="BB74" s="58">
        <v>2.7672497472369297</v>
      </c>
      <c r="BC74" s="58">
        <v>21.665858052537327</v>
      </c>
      <c r="BD74" s="58">
        <v>20.446303460939546</v>
      </c>
      <c r="BE74" s="58">
        <v>55.218905695797602</v>
      </c>
      <c r="BF74" s="58">
        <v>75.388293434554825</v>
      </c>
      <c r="BG74" s="58" t="s">
        <v>920</v>
      </c>
      <c r="BH74" s="58">
        <v>4.2213348545350815</v>
      </c>
      <c r="BI74" s="58">
        <v>67.067098927381096</v>
      </c>
      <c r="BJ74" s="58">
        <v>2.126362759247884</v>
      </c>
      <c r="BK74" s="58">
        <v>53.18810964782751</v>
      </c>
      <c r="BL74" s="58">
        <v>21.332444378346381</v>
      </c>
      <c r="BM74" s="58">
        <v>75.516415827528547</v>
      </c>
      <c r="BN74" s="58">
        <v>54.732365733406439</v>
      </c>
      <c r="BO74" s="58">
        <v>12.36009622726055</v>
      </c>
      <c r="BP74" s="58">
        <v>9.3941561653996448</v>
      </c>
      <c r="BQ74" s="58">
        <v>69.287694543009266</v>
      </c>
      <c r="BR74" s="58">
        <v>41.758304950175521</v>
      </c>
      <c r="BS74" s="58">
        <v>42.732696121821654</v>
      </c>
      <c r="BT74" s="58">
        <v>41.554669609021396</v>
      </c>
      <c r="BU74" s="58">
        <v>30.153117460231758</v>
      </c>
      <c r="BV74" s="58">
        <v>74.687499999841805</v>
      </c>
      <c r="BW74" s="58">
        <v>34.947159278796988</v>
      </c>
      <c r="BX74" s="58">
        <v>100</v>
      </c>
      <c r="BY74" s="58">
        <v>77.540439651596841</v>
      </c>
      <c r="BZ74" s="58">
        <v>60.865425306813371</v>
      </c>
      <c r="CA74" s="58">
        <v>79.345561265611863</v>
      </c>
      <c r="CB74" s="58">
        <v>65.682806254868481</v>
      </c>
      <c r="CC74" s="58">
        <v>45.374270451004421</v>
      </c>
      <c r="CD74" s="58">
        <v>0.16447857222677928</v>
      </c>
      <c r="CE74" s="58">
        <v>68.505754238796456</v>
      </c>
      <c r="CF74" s="58">
        <v>44.050726398747628</v>
      </c>
      <c r="CG74" s="58">
        <v>21.641598460664841</v>
      </c>
      <c r="CH74" s="58">
        <v>70.084897229669366</v>
      </c>
      <c r="CI74" s="58">
        <v>75.520833333333329</v>
      </c>
      <c r="CJ74" s="58">
        <v>52.551020408163275</v>
      </c>
      <c r="CK74" s="58">
        <v>69.487107460516171</v>
      </c>
      <c r="CL74" s="58">
        <v>97.777777777777771</v>
      </c>
      <c r="CM74" s="58">
        <v>23.749420196101955</v>
      </c>
      <c r="CN74" s="58">
        <v>70</v>
      </c>
      <c r="CO74" s="58">
        <v>79.97847147470398</v>
      </c>
      <c r="CP74" s="58">
        <v>73.954248105658706</v>
      </c>
      <c r="CQ74" s="58">
        <v>21</v>
      </c>
      <c r="CR74" s="58">
        <v>83</v>
      </c>
      <c r="CS74" s="58">
        <v>22</v>
      </c>
      <c r="CT74" s="58">
        <v>79</v>
      </c>
      <c r="CU74" s="58">
        <v>52</v>
      </c>
      <c r="CV74" s="58">
        <v>56</v>
      </c>
      <c r="CW74" s="58">
        <v>48</v>
      </c>
      <c r="CX74" s="58">
        <v>61</v>
      </c>
      <c r="CY74" s="58">
        <v>53</v>
      </c>
      <c r="CZ74" s="58">
        <v>76</v>
      </c>
      <c r="DA74" s="58">
        <v>54</v>
      </c>
      <c r="DB74" s="58">
        <v>81</v>
      </c>
      <c r="DC74" s="58">
        <v>43</v>
      </c>
      <c r="DD74" s="58">
        <v>47</v>
      </c>
      <c r="DE74" s="58">
        <v>51</v>
      </c>
      <c r="DF74" s="58">
        <v>56</v>
      </c>
      <c r="DG74" s="58">
        <v>49</v>
      </c>
      <c r="DH74" s="58" t="s">
        <v>920</v>
      </c>
      <c r="DI74" s="58">
        <v>44</v>
      </c>
      <c r="DJ74" s="58">
        <v>41</v>
      </c>
      <c r="DK74" s="58">
        <v>81</v>
      </c>
      <c r="DL74" s="58">
        <v>24</v>
      </c>
      <c r="DM74" s="58">
        <v>39</v>
      </c>
      <c r="DN74" s="58">
        <v>52</v>
      </c>
      <c r="DO74" s="58">
        <v>24</v>
      </c>
      <c r="DP74" s="58">
        <v>105</v>
      </c>
      <c r="DQ74" s="58">
        <v>59</v>
      </c>
      <c r="DR74" s="58">
        <v>56</v>
      </c>
      <c r="DS74" s="58">
        <v>110</v>
      </c>
      <c r="DT74" s="58">
        <v>28</v>
      </c>
      <c r="DU74" s="58">
        <v>51</v>
      </c>
      <c r="DV74" s="58">
        <v>94</v>
      </c>
      <c r="DW74" s="58">
        <v>61</v>
      </c>
      <c r="DX74" s="58">
        <v>77</v>
      </c>
      <c r="DY74" s="58">
        <v>1</v>
      </c>
      <c r="DZ74" s="58">
        <v>33</v>
      </c>
      <c r="EA74" s="58">
        <v>67</v>
      </c>
      <c r="EB74" s="58">
        <v>50</v>
      </c>
      <c r="EC74" s="58">
        <v>51</v>
      </c>
      <c r="ED74" s="58">
        <v>57</v>
      </c>
      <c r="EE74" s="58">
        <v>70</v>
      </c>
      <c r="EF74" s="58">
        <v>30</v>
      </c>
      <c r="EG74" s="58">
        <v>57</v>
      </c>
      <c r="EH74" s="58">
        <v>47</v>
      </c>
      <c r="EI74" s="58">
        <v>39</v>
      </c>
      <c r="EJ74" s="58">
        <v>57</v>
      </c>
      <c r="EK74" s="58">
        <v>90</v>
      </c>
      <c r="EL74" s="58">
        <v>54</v>
      </c>
      <c r="EM74" s="58">
        <v>42</v>
      </c>
      <c r="EN74" s="58">
        <v>64</v>
      </c>
      <c r="EO74" s="58">
        <v>88</v>
      </c>
      <c r="EP74" s="58">
        <v>47</v>
      </c>
      <c r="EQ74" s="58">
        <v>45</v>
      </c>
    </row>
    <row r="75" spans="1:147" x14ac:dyDescent="0.45">
      <c r="A75" t="s">
        <v>22</v>
      </c>
      <c r="B75" s="59" t="s">
        <v>358</v>
      </c>
      <c r="C75" s="37" t="s">
        <v>25</v>
      </c>
      <c r="D75" s="37" t="s">
        <v>881</v>
      </c>
      <c r="E75" s="104">
        <v>16049.821</v>
      </c>
      <c r="F75" s="104">
        <v>63212000</v>
      </c>
      <c r="G75" s="87">
        <v>47.942216806270174</v>
      </c>
      <c r="H75" s="1" t="s">
        <v>209</v>
      </c>
      <c r="I75" s="58">
        <v>69</v>
      </c>
      <c r="J75" s="87">
        <v>43.412392694298944</v>
      </c>
      <c r="K75" s="87">
        <v>39.042005714196279</v>
      </c>
      <c r="L75" s="87">
        <v>64.54110336680769</v>
      </c>
      <c r="M75" s="87">
        <v>44.773365449777799</v>
      </c>
      <c r="N75" s="58">
        <v>66</v>
      </c>
      <c r="O75" s="58">
        <v>72</v>
      </c>
      <c r="P75" s="58">
        <v>55</v>
      </c>
      <c r="Q75" s="58">
        <v>100</v>
      </c>
      <c r="R75" s="58">
        <v>66.579675565615844</v>
      </c>
      <c r="S75" s="58">
        <v>26.65098371079192</v>
      </c>
      <c r="T75" s="58">
        <v>37.006518806489083</v>
      </c>
      <c r="U75" s="58">
        <v>37.361312914666925</v>
      </c>
      <c r="V75" s="58">
        <v>41.616689180102682</v>
      </c>
      <c r="W75" s="58">
        <v>38.148015047819221</v>
      </c>
      <c r="X75" s="58">
        <v>61.319198914039447</v>
      </c>
      <c r="Y75" s="58">
        <v>64.476873922139021</v>
      </c>
      <c r="Z75" s="58">
        <v>67.827237264244573</v>
      </c>
      <c r="AA75" s="58">
        <v>31.853301496643674</v>
      </c>
      <c r="AB75" s="58">
        <v>37.960452573147627</v>
      </c>
      <c r="AC75" s="58">
        <v>64.506342279542096</v>
      </c>
      <c r="AD75" s="58">
        <v>73</v>
      </c>
      <c r="AE75" s="58">
        <v>58</v>
      </c>
      <c r="AF75" s="58">
        <v>54</v>
      </c>
      <c r="AG75" s="58">
        <v>102</v>
      </c>
      <c r="AH75" s="58">
        <v>38</v>
      </c>
      <c r="AI75" s="58">
        <v>68</v>
      </c>
      <c r="AJ75" s="58">
        <v>61</v>
      </c>
      <c r="AK75" s="58">
        <v>58</v>
      </c>
      <c r="AL75" s="58">
        <v>55</v>
      </c>
      <c r="AM75" s="58">
        <v>65</v>
      </c>
      <c r="AN75" s="58">
        <v>117</v>
      </c>
      <c r="AO75" s="58">
        <v>64</v>
      </c>
      <c r="AP75" s="58">
        <v>51.239261113819502</v>
      </c>
      <c r="AQ75" s="58">
        <v>60.804402408127388</v>
      </c>
      <c r="AR75" s="58">
        <v>46.274150521751949</v>
      </c>
      <c r="AS75" s="58">
        <v>99.210526315789451</v>
      </c>
      <c r="AT75" s="58">
        <v>75.370037468590922</v>
      </c>
      <c r="AU75" s="58" t="s">
        <v>920</v>
      </c>
      <c r="AV75" s="58">
        <v>4.1294514672034772</v>
      </c>
      <c r="AW75" s="58">
        <v>6.7020869742032296</v>
      </c>
      <c r="AX75" s="58">
        <v>62.527908720953974</v>
      </c>
      <c r="AY75" s="58">
        <v>33.244487680806998</v>
      </c>
      <c r="AZ75" s="58">
        <v>66.235185447200195</v>
      </c>
      <c r="BA75" s="58">
        <v>51.750000000000007</v>
      </c>
      <c r="BB75" s="58">
        <v>4.3841400783689757</v>
      </c>
      <c r="BC75" s="58">
        <v>25.656749700387181</v>
      </c>
      <c r="BD75" s="58">
        <v>27.148994782475672</v>
      </c>
      <c r="BE75" s="58">
        <v>29.269659280087996</v>
      </c>
      <c r="BF75" s="58">
        <v>39.727504174380591</v>
      </c>
      <c r="BG75" s="58">
        <v>86.15384615384616</v>
      </c>
      <c r="BH75" s="58">
        <v>4.5065601825442085</v>
      </c>
      <c r="BI75" s="58">
        <v>78.775422977415431</v>
      </c>
      <c r="BJ75" s="58">
        <v>7.2432271560680519</v>
      </c>
      <c r="BK75" s="58">
        <v>49.793177402008034</v>
      </c>
      <c r="BL75" s="58">
        <v>30.654929184919222</v>
      </c>
      <c r="BM75" s="58">
        <v>86.430625233093934</v>
      </c>
      <c r="BN75" s="58">
        <v>30.631769177353824</v>
      </c>
      <c r="BO75" s="58">
        <v>25.919778907605302</v>
      </c>
      <c r="BP75" s="58">
        <v>9.6098868732238447</v>
      </c>
      <c r="BQ75" s="58">
        <v>78.291467630575298</v>
      </c>
      <c r="BR75" s="58">
        <v>83.47521916523786</v>
      </c>
      <c r="BS75" s="58">
        <v>67.364877828626632</v>
      </c>
      <c r="BT75" s="58">
        <v>16.145231031718012</v>
      </c>
      <c r="BU75" s="58">
        <v>36.630425836350192</v>
      </c>
      <c r="BV75" s="58">
        <v>77.499999999859369</v>
      </c>
      <c r="BW75" s="58">
        <v>44.815536474609999</v>
      </c>
      <c r="BX75" s="58">
        <v>100</v>
      </c>
      <c r="BY75" s="58">
        <v>63.438407299875578</v>
      </c>
      <c r="BZ75" s="58">
        <v>82.606855691917062</v>
      </c>
      <c r="CA75" s="58">
        <v>60.101321153466905</v>
      </c>
      <c r="CB75" s="58" t="s">
        <v>920</v>
      </c>
      <c r="CC75" s="58">
        <v>60.773534947349773</v>
      </c>
      <c r="CD75" s="58">
        <v>1.2810062589837867</v>
      </c>
      <c r="CE75" s="58">
        <v>65.554490454755225</v>
      </c>
      <c r="CF75" s="58">
        <v>52.671562980333739</v>
      </c>
      <c r="CG75" s="58">
        <v>7.9061462925019406</v>
      </c>
      <c r="CH75" s="58">
        <v>43.632707774798938</v>
      </c>
      <c r="CI75" s="58">
        <v>56.25</v>
      </c>
      <c r="CJ75" s="58">
        <v>0</v>
      </c>
      <c r="CK75" s="58">
        <v>27.997299889287891</v>
      </c>
      <c r="CL75" s="58">
        <v>80</v>
      </c>
      <c r="CM75" s="58" t="s">
        <v>920</v>
      </c>
      <c r="CN75" s="58">
        <v>82.727272727272734</v>
      </c>
      <c r="CO75" s="58">
        <v>44.779332615715816</v>
      </c>
      <c r="CP75" s="58">
        <v>52.024842991275491</v>
      </c>
      <c r="CQ75" s="58">
        <v>93</v>
      </c>
      <c r="CR75" s="58">
        <v>71</v>
      </c>
      <c r="CS75" s="58">
        <v>28</v>
      </c>
      <c r="CT75" s="58">
        <v>40</v>
      </c>
      <c r="CU75" s="58">
        <v>42</v>
      </c>
      <c r="CV75" s="58" t="s">
        <v>920</v>
      </c>
      <c r="CW75" s="58">
        <v>85</v>
      </c>
      <c r="CX75" s="58">
        <v>52</v>
      </c>
      <c r="CY75" s="58">
        <v>71</v>
      </c>
      <c r="CZ75" s="58">
        <v>24</v>
      </c>
      <c r="DA75" s="58">
        <v>46</v>
      </c>
      <c r="DB75" s="58">
        <v>40</v>
      </c>
      <c r="DC75" s="58">
        <v>39</v>
      </c>
      <c r="DD75" s="58">
        <v>35</v>
      </c>
      <c r="DE75" s="58">
        <v>40</v>
      </c>
      <c r="DF75" s="58">
        <v>98</v>
      </c>
      <c r="DG75" s="58">
        <v>98</v>
      </c>
      <c r="DH75" s="58">
        <v>58</v>
      </c>
      <c r="DI75" s="58">
        <v>43</v>
      </c>
      <c r="DJ75" s="58">
        <v>30</v>
      </c>
      <c r="DK75" s="58">
        <v>57</v>
      </c>
      <c r="DL75" s="58">
        <v>31</v>
      </c>
      <c r="DM75" s="58">
        <v>24</v>
      </c>
      <c r="DN75" s="58">
        <v>24</v>
      </c>
      <c r="DO75" s="58">
        <v>61</v>
      </c>
      <c r="DP75" s="58">
        <v>86</v>
      </c>
      <c r="DQ75" s="58">
        <v>57</v>
      </c>
      <c r="DR75" s="58">
        <v>38</v>
      </c>
      <c r="DS75" s="58">
        <v>73</v>
      </c>
      <c r="DT75" s="58">
        <v>10</v>
      </c>
      <c r="DU75" s="58">
        <v>82</v>
      </c>
      <c r="DV75" s="58">
        <v>83</v>
      </c>
      <c r="DW75" s="58">
        <v>51</v>
      </c>
      <c r="DX75" s="58">
        <v>61</v>
      </c>
      <c r="DY75" s="58">
        <v>1</v>
      </c>
      <c r="DZ75" s="58">
        <v>62</v>
      </c>
      <c r="EA75" s="58">
        <v>29</v>
      </c>
      <c r="EB75" s="58">
        <v>80</v>
      </c>
      <c r="EC75" s="58" t="s">
        <v>920</v>
      </c>
      <c r="ED75" s="58">
        <v>45</v>
      </c>
      <c r="EE75" s="58">
        <v>51</v>
      </c>
      <c r="EF75" s="58">
        <v>32</v>
      </c>
      <c r="EG75" s="58">
        <v>47</v>
      </c>
      <c r="EH75" s="58">
        <v>81</v>
      </c>
      <c r="EI75" s="58">
        <v>90</v>
      </c>
      <c r="EJ75" s="58">
        <v>97</v>
      </c>
      <c r="EK75" s="58">
        <v>113</v>
      </c>
      <c r="EL75" s="58">
        <v>123</v>
      </c>
      <c r="EM75" s="58">
        <v>72</v>
      </c>
      <c r="EN75" s="58" t="s">
        <v>920</v>
      </c>
      <c r="EO75" s="58">
        <v>51</v>
      </c>
      <c r="EP75" s="58">
        <v>113</v>
      </c>
      <c r="EQ75" s="58">
        <v>79</v>
      </c>
    </row>
    <row r="76" spans="1:147" x14ac:dyDescent="0.45">
      <c r="A76" t="s">
        <v>353</v>
      </c>
      <c r="B76" s="59" t="s">
        <v>352</v>
      </c>
      <c r="C76" s="37" t="s">
        <v>10</v>
      </c>
      <c r="D76" s="37" t="s">
        <v>881</v>
      </c>
      <c r="E76" s="104">
        <v>19590.726999999999</v>
      </c>
      <c r="F76" s="104">
        <v>3067000</v>
      </c>
      <c r="G76" s="87">
        <v>47.141731585193831</v>
      </c>
      <c r="H76" s="1" t="s">
        <v>208</v>
      </c>
      <c r="I76" s="58">
        <v>70</v>
      </c>
      <c r="J76" s="87">
        <v>37.294337040272033</v>
      </c>
      <c r="K76" s="87">
        <v>37.568970961855847</v>
      </c>
      <c r="L76" s="87">
        <v>58.952845732503384</v>
      </c>
      <c r="M76" s="87">
        <v>54.750772606144061</v>
      </c>
      <c r="N76" s="58">
        <v>83</v>
      </c>
      <c r="O76" s="58">
        <v>79</v>
      </c>
      <c r="P76" s="58">
        <v>68</v>
      </c>
      <c r="Q76" s="58">
        <v>57</v>
      </c>
      <c r="R76" s="58">
        <v>75.307662873069418</v>
      </c>
      <c r="S76" s="58">
        <v>23.967742408370871</v>
      </c>
      <c r="T76" s="58">
        <v>12.607605839375811</v>
      </c>
      <c r="U76" s="58">
        <v>51.737094437804416</v>
      </c>
      <c r="V76" s="58">
        <v>25.899440876106567</v>
      </c>
      <c r="W76" s="58">
        <v>35.070377571656564</v>
      </c>
      <c r="X76" s="58">
        <v>55.621784438294611</v>
      </c>
      <c r="Y76" s="58">
        <v>69.780851832288931</v>
      </c>
      <c r="Z76" s="58">
        <v>51.455900926926596</v>
      </c>
      <c r="AA76" s="58">
        <v>31.627862161834813</v>
      </c>
      <c r="AB76" s="58">
        <v>69.405502990973204</v>
      </c>
      <c r="AC76" s="58">
        <v>63.218952665624158</v>
      </c>
      <c r="AD76" s="58">
        <v>42</v>
      </c>
      <c r="AE76" s="58">
        <v>69</v>
      </c>
      <c r="AF76" s="58">
        <v>125</v>
      </c>
      <c r="AG76" s="58">
        <v>63</v>
      </c>
      <c r="AH76" s="58">
        <v>79</v>
      </c>
      <c r="AI76" s="58">
        <v>82</v>
      </c>
      <c r="AJ76" s="58">
        <v>64</v>
      </c>
      <c r="AK76" s="58">
        <v>44</v>
      </c>
      <c r="AL76" s="58">
        <v>91</v>
      </c>
      <c r="AM76" s="58">
        <v>67</v>
      </c>
      <c r="AN76" s="58">
        <v>49</v>
      </c>
      <c r="AO76" s="58">
        <v>65</v>
      </c>
      <c r="AP76" s="58">
        <v>62.871257038350201</v>
      </c>
      <c r="AQ76" s="58">
        <v>80.904490151865474</v>
      </c>
      <c r="AR76" s="58">
        <v>37.625690416046673</v>
      </c>
      <c r="AS76" s="58">
        <v>99.473684210526343</v>
      </c>
      <c r="AT76" s="58">
        <v>73.960883802975559</v>
      </c>
      <c r="AU76" s="58">
        <v>97.009971618652301</v>
      </c>
      <c r="AV76" s="58">
        <v>16.003310758758413</v>
      </c>
      <c r="AW76" s="58">
        <v>3.9788287553552237</v>
      </c>
      <c r="AX76" s="58">
        <v>75.708751935981269</v>
      </c>
      <c r="AY76" s="58">
        <v>0.18007818338857992</v>
      </c>
      <c r="AZ76" s="58" t="s">
        <v>920</v>
      </c>
      <c r="BA76" s="58">
        <v>19.499999999999996</v>
      </c>
      <c r="BB76" s="58" t="s">
        <v>920</v>
      </c>
      <c r="BC76" s="58">
        <v>5.7152116787516274</v>
      </c>
      <c r="BD76" s="58">
        <v>5.3396969429133279</v>
      </c>
      <c r="BE76" s="58" t="s">
        <v>920</v>
      </c>
      <c r="BF76" s="58">
        <v>51.410047908961467</v>
      </c>
      <c r="BG76" s="58">
        <v>98.461538461538453</v>
      </c>
      <c r="BH76" s="58" t="s">
        <v>920</v>
      </c>
      <c r="BI76" s="58">
        <v>43.309431680224058</v>
      </c>
      <c r="BJ76" s="58" t="s">
        <v>920</v>
      </c>
      <c r="BK76" s="58">
        <v>31.71055960885349</v>
      </c>
      <c r="BL76" s="58">
        <v>2.6783313392421526</v>
      </c>
      <c r="BM76" s="58">
        <v>67.079318102525235</v>
      </c>
      <c r="BN76" s="58">
        <v>34.69460721940429</v>
      </c>
      <c r="BO76" s="58" t="s">
        <v>920</v>
      </c>
      <c r="BP76" s="58">
        <v>3.4372073930401661</v>
      </c>
      <c r="BQ76" s="58">
        <v>76.531644873310981</v>
      </c>
      <c r="BR76" s="58">
        <v>58.253076318405014</v>
      </c>
      <c r="BS76" s="58">
        <v>68.031005485492031</v>
      </c>
      <c r="BT76" s="58">
        <v>19.671411075970411</v>
      </c>
      <c r="BU76" s="58">
        <v>44.868430141477837</v>
      </c>
      <c r="BV76" s="58">
        <v>76.249999999789068</v>
      </c>
      <c r="BW76" s="58" t="s">
        <v>920</v>
      </c>
      <c r="BX76" s="58">
        <v>100</v>
      </c>
      <c r="BY76" s="58">
        <v>58.004977187888841</v>
      </c>
      <c r="BZ76" s="58">
        <v>71.011426153195089</v>
      </c>
      <c r="CA76" s="58">
        <v>50.425272664042922</v>
      </c>
      <c r="CB76" s="58" t="s">
        <v>920</v>
      </c>
      <c r="CC76" s="58">
        <v>32.931003963541755</v>
      </c>
      <c r="CD76" s="58">
        <v>0.54125753566260248</v>
      </c>
      <c r="CE76" s="58">
        <v>35.200669200013969</v>
      </c>
      <c r="CF76" s="58" t="s">
        <v>920</v>
      </c>
      <c r="CG76" s="58">
        <v>59.141659749827866</v>
      </c>
      <c r="CH76" s="58">
        <v>57.171581769436997</v>
      </c>
      <c r="CI76" s="58">
        <v>76.302083333333329</v>
      </c>
      <c r="CJ76" s="58">
        <v>92.34693877551021</v>
      </c>
      <c r="CK76" s="58">
        <v>57.138748964788341</v>
      </c>
      <c r="CL76" s="58">
        <v>80</v>
      </c>
      <c r="CM76" s="58">
        <v>31.687172285591732</v>
      </c>
      <c r="CN76" s="58">
        <v>86.36363636363636</v>
      </c>
      <c r="CO76" s="58">
        <v>67.599569429494068</v>
      </c>
      <c r="CP76" s="58">
        <v>54.45086516754894</v>
      </c>
      <c r="CQ76" s="58">
        <v>72</v>
      </c>
      <c r="CR76" s="58">
        <v>46</v>
      </c>
      <c r="CS76" s="58">
        <v>46</v>
      </c>
      <c r="CT76" s="58">
        <v>29</v>
      </c>
      <c r="CU76" s="58">
        <v>50</v>
      </c>
      <c r="CV76" s="58">
        <v>43</v>
      </c>
      <c r="CW76" s="58">
        <v>47</v>
      </c>
      <c r="CX76" s="58">
        <v>64</v>
      </c>
      <c r="CY76" s="58">
        <v>14</v>
      </c>
      <c r="CZ76" s="58">
        <v>115</v>
      </c>
      <c r="DA76" s="58" t="s">
        <v>920</v>
      </c>
      <c r="DB76" s="58">
        <v>116</v>
      </c>
      <c r="DC76" s="58" t="s">
        <v>920</v>
      </c>
      <c r="DD76" s="58">
        <v>95</v>
      </c>
      <c r="DE76" s="58">
        <v>93</v>
      </c>
      <c r="DF76" s="58" t="s">
        <v>920</v>
      </c>
      <c r="DG76" s="58">
        <v>90</v>
      </c>
      <c r="DH76" s="58">
        <v>16</v>
      </c>
      <c r="DI76" s="58" t="s">
        <v>920</v>
      </c>
      <c r="DJ76" s="58">
        <v>76</v>
      </c>
      <c r="DK76" s="58" t="s">
        <v>920</v>
      </c>
      <c r="DL76" s="58">
        <v>105</v>
      </c>
      <c r="DM76" s="58">
        <v>75</v>
      </c>
      <c r="DN76" s="58">
        <v>69</v>
      </c>
      <c r="DO76" s="58">
        <v>52</v>
      </c>
      <c r="DP76" s="58" t="s">
        <v>920</v>
      </c>
      <c r="DQ76" s="58">
        <v>81</v>
      </c>
      <c r="DR76" s="58">
        <v>40</v>
      </c>
      <c r="DS76" s="58">
        <v>103</v>
      </c>
      <c r="DT76" s="58">
        <v>9</v>
      </c>
      <c r="DU76" s="58">
        <v>73</v>
      </c>
      <c r="DV76" s="58">
        <v>67</v>
      </c>
      <c r="DW76" s="58">
        <v>58</v>
      </c>
      <c r="DX76" s="58" t="s">
        <v>920</v>
      </c>
      <c r="DY76" s="58">
        <v>1</v>
      </c>
      <c r="DZ76" s="58">
        <v>74</v>
      </c>
      <c r="EA76" s="58">
        <v>49</v>
      </c>
      <c r="EB76" s="58">
        <v>92</v>
      </c>
      <c r="EC76" s="58" t="s">
        <v>920</v>
      </c>
      <c r="ED76" s="58">
        <v>64</v>
      </c>
      <c r="EE76" s="58">
        <v>57</v>
      </c>
      <c r="EF76" s="58">
        <v>116</v>
      </c>
      <c r="EG76" s="58" t="s">
        <v>920</v>
      </c>
      <c r="EH76" s="58">
        <v>8</v>
      </c>
      <c r="EI76" s="58">
        <v>77</v>
      </c>
      <c r="EJ76" s="58">
        <v>55</v>
      </c>
      <c r="EK76" s="58">
        <v>9</v>
      </c>
      <c r="EL76" s="58">
        <v>88</v>
      </c>
      <c r="EM76" s="58">
        <v>72</v>
      </c>
      <c r="EN76" s="58">
        <v>51</v>
      </c>
      <c r="EO76" s="58">
        <v>40</v>
      </c>
      <c r="EP76" s="58">
        <v>87</v>
      </c>
      <c r="EQ76" s="58">
        <v>76</v>
      </c>
    </row>
    <row r="77" spans="1:147" x14ac:dyDescent="0.45">
      <c r="A77" t="s">
        <v>91</v>
      </c>
      <c r="B77" s="59" t="s">
        <v>360</v>
      </c>
      <c r="C77" s="37" t="s">
        <v>29</v>
      </c>
      <c r="D77" s="37" t="s">
        <v>882</v>
      </c>
      <c r="E77" s="104">
        <v>11510.847</v>
      </c>
      <c r="F77" s="104">
        <v>11439000</v>
      </c>
      <c r="G77" s="87">
        <v>46.604503771007771</v>
      </c>
      <c r="H77" s="1" t="s">
        <v>211</v>
      </c>
      <c r="I77" s="58">
        <v>71</v>
      </c>
      <c r="J77" s="87">
        <v>45.945465489225434</v>
      </c>
      <c r="K77" s="87">
        <v>46.408068721779465</v>
      </c>
      <c r="L77" s="87">
        <v>53.235753597894849</v>
      </c>
      <c r="M77" s="87">
        <v>40.828727275131357</v>
      </c>
      <c r="N77" s="58">
        <v>54</v>
      </c>
      <c r="O77" s="58">
        <v>44</v>
      </c>
      <c r="P77" s="58">
        <v>80</v>
      </c>
      <c r="Q77" s="58">
        <v>108</v>
      </c>
      <c r="R77" s="58">
        <v>55.348738808936822</v>
      </c>
      <c r="S77" s="58">
        <v>32.673930269009638</v>
      </c>
      <c r="T77" s="58">
        <v>49.813727389729841</v>
      </c>
      <c r="U77" s="58">
        <v>61.641577619466517</v>
      </c>
      <c r="V77" s="58">
        <v>32.695580706958857</v>
      </c>
      <c r="W77" s="58">
        <v>44.887047838913013</v>
      </c>
      <c r="X77" s="58">
        <v>42.94451312486089</v>
      </c>
      <c r="Y77" s="58">
        <v>57.938929519627131</v>
      </c>
      <c r="Z77" s="58">
        <v>58.823818149196526</v>
      </c>
      <c r="AA77" s="58">
        <v>26.995547900751756</v>
      </c>
      <c r="AB77" s="58">
        <v>47.218494691196859</v>
      </c>
      <c r="AC77" s="58">
        <v>48.272139233445458</v>
      </c>
      <c r="AD77" s="58">
        <v>100</v>
      </c>
      <c r="AE77" s="58">
        <v>46</v>
      </c>
      <c r="AF77" s="58">
        <v>23</v>
      </c>
      <c r="AG77" s="58">
        <v>24</v>
      </c>
      <c r="AH77" s="58">
        <v>55</v>
      </c>
      <c r="AI77" s="58">
        <v>56</v>
      </c>
      <c r="AJ77" s="58">
        <v>93</v>
      </c>
      <c r="AK77" s="58">
        <v>76</v>
      </c>
      <c r="AL77" s="58">
        <v>75</v>
      </c>
      <c r="AM77" s="58">
        <v>90</v>
      </c>
      <c r="AN77" s="58">
        <v>103</v>
      </c>
      <c r="AO77" s="58">
        <v>109</v>
      </c>
      <c r="AP77" s="58">
        <v>44.016754859532398</v>
      </c>
      <c r="AQ77" s="58">
        <v>44.319746782002227</v>
      </c>
      <c r="AR77" s="58">
        <v>38.739279373729971</v>
      </c>
      <c r="AS77" s="58">
        <v>99.473684210526343</v>
      </c>
      <c r="AT77" s="58">
        <v>73.984337638205972</v>
      </c>
      <c r="AU77" s="58">
        <v>31.558629989623999</v>
      </c>
      <c r="AV77" s="58">
        <v>3.6810757300118389</v>
      </c>
      <c r="AW77" s="58">
        <v>2.1560468469448644</v>
      </c>
      <c r="AX77" s="58">
        <v>73.436042626056732</v>
      </c>
      <c r="AY77" s="58">
        <v>51.422555873025125</v>
      </c>
      <c r="AZ77" s="58">
        <v>76.838511453059894</v>
      </c>
      <c r="BA77" s="58">
        <v>49.250000000000007</v>
      </c>
      <c r="BB77" s="58" t="s">
        <v>920</v>
      </c>
      <c r="BC77" s="58">
        <v>23.352670716129619</v>
      </c>
      <c r="BD77" s="58">
        <v>21.626095662539058</v>
      </c>
      <c r="BE77" s="58">
        <v>75.359434759592872</v>
      </c>
      <c r="BF77" s="58">
        <v>57.273087748041839</v>
      </c>
      <c r="BG77" s="58">
        <v>92.307692307692307</v>
      </c>
      <c r="BH77" s="58" t="s">
        <v>920</v>
      </c>
      <c r="BI77" s="58">
        <v>80.707864810916234</v>
      </c>
      <c r="BJ77" s="58">
        <v>6.5915328310155648</v>
      </c>
      <c r="BK77" s="58">
        <v>42.182571866531326</v>
      </c>
      <c r="BL77" s="58">
        <v>1.3003533193723085</v>
      </c>
      <c r="BM77" s="58">
        <v>71.012138929993625</v>
      </c>
      <c r="BN77" s="58">
        <v>25.984944406244047</v>
      </c>
      <c r="BO77" s="58">
        <v>71.66878196414757</v>
      </c>
      <c r="BP77" s="58">
        <v>10.882326055266823</v>
      </c>
      <c r="BQ77" s="58">
        <v>42.781435194684597</v>
      </c>
      <c r="BR77" s="58">
        <v>98.314766125009427</v>
      </c>
      <c r="BS77" s="58">
        <v>14.113548642864279</v>
      </c>
      <c r="BT77" s="58">
        <v>16.568302536885252</v>
      </c>
      <c r="BU77" s="58">
        <v>47.676377660828315</v>
      </c>
      <c r="BV77" s="58">
        <v>73.749999999835936</v>
      </c>
      <c r="BW77" s="58">
        <v>55.856407639669627</v>
      </c>
      <c r="BX77" s="58">
        <v>75</v>
      </c>
      <c r="BY77" s="58">
        <v>37.41186229780174</v>
      </c>
      <c r="BZ77" s="58">
        <v>59.415996614473123</v>
      </c>
      <c r="CA77" s="58">
        <v>42.765506438654235</v>
      </c>
      <c r="CB77" s="58">
        <v>61.769300246649792</v>
      </c>
      <c r="CC77" s="58">
        <v>71.344469297008985</v>
      </c>
      <c r="CD77" s="58">
        <v>0.59257422882747091</v>
      </c>
      <c r="CE77" s="58">
        <v>45.463677664573929</v>
      </c>
      <c r="CF77" s="58">
        <v>60.967311267307792</v>
      </c>
      <c r="CG77" s="58">
        <v>0.95862844229784272</v>
      </c>
      <c r="CH77" s="58">
        <v>23.458445040214475</v>
      </c>
      <c r="CI77" s="58">
        <v>59.374999999999986</v>
      </c>
      <c r="CJ77" s="58" t="s">
        <v>920</v>
      </c>
      <c r="CK77" s="58">
        <v>70.425583375555391</v>
      </c>
      <c r="CL77" s="58">
        <v>66.666666666666657</v>
      </c>
      <c r="CM77" s="58">
        <v>9.0484870262508128</v>
      </c>
      <c r="CN77" s="58">
        <v>40.909090909090914</v>
      </c>
      <c r="CO77" s="58">
        <v>72.65877287405813</v>
      </c>
      <c r="CP77" s="58">
        <v>74.27774558209731</v>
      </c>
      <c r="CQ77" s="58">
        <v>106</v>
      </c>
      <c r="CR77" s="58">
        <v>92</v>
      </c>
      <c r="CS77" s="58">
        <v>45</v>
      </c>
      <c r="CT77" s="58">
        <v>29</v>
      </c>
      <c r="CU77" s="58">
        <v>49</v>
      </c>
      <c r="CV77" s="58">
        <v>72</v>
      </c>
      <c r="CW77" s="58">
        <v>87</v>
      </c>
      <c r="CX77" s="58">
        <v>79</v>
      </c>
      <c r="CY77" s="58">
        <v>22</v>
      </c>
      <c r="CZ77" s="58">
        <v>15</v>
      </c>
      <c r="DA77" s="58">
        <v>29</v>
      </c>
      <c r="DB77" s="58">
        <v>44</v>
      </c>
      <c r="DC77" s="58" t="s">
        <v>920</v>
      </c>
      <c r="DD77" s="58">
        <v>42</v>
      </c>
      <c r="DE77" s="58">
        <v>45</v>
      </c>
      <c r="DF77" s="58">
        <v>22</v>
      </c>
      <c r="DG77" s="58">
        <v>80</v>
      </c>
      <c r="DH77" s="58">
        <v>48</v>
      </c>
      <c r="DI77" s="58" t="s">
        <v>920</v>
      </c>
      <c r="DJ77" s="58">
        <v>26</v>
      </c>
      <c r="DK77" s="58">
        <v>60</v>
      </c>
      <c r="DL77" s="58">
        <v>60</v>
      </c>
      <c r="DM77" s="58">
        <v>88</v>
      </c>
      <c r="DN77" s="58">
        <v>63</v>
      </c>
      <c r="DO77" s="58">
        <v>65</v>
      </c>
      <c r="DP77" s="58">
        <v>19</v>
      </c>
      <c r="DQ77" s="58">
        <v>51</v>
      </c>
      <c r="DR77" s="58">
        <v>96</v>
      </c>
      <c r="DS77" s="58">
        <v>27</v>
      </c>
      <c r="DT77" s="58">
        <v>49</v>
      </c>
      <c r="DU77" s="58">
        <v>79</v>
      </c>
      <c r="DV77" s="58">
        <v>59</v>
      </c>
      <c r="DW77" s="58">
        <v>64</v>
      </c>
      <c r="DX77" s="58">
        <v>45</v>
      </c>
      <c r="DY77" s="58">
        <v>72</v>
      </c>
      <c r="DZ77" s="58">
        <v>103</v>
      </c>
      <c r="EA77" s="58">
        <v>69</v>
      </c>
      <c r="EB77" s="58">
        <v>103</v>
      </c>
      <c r="EC77" s="58">
        <v>72</v>
      </c>
      <c r="ED77" s="58">
        <v>27</v>
      </c>
      <c r="EE77" s="58">
        <v>56</v>
      </c>
      <c r="EF77" s="58">
        <v>86</v>
      </c>
      <c r="EG77" s="58">
        <v>33</v>
      </c>
      <c r="EH77" s="58">
        <v>123</v>
      </c>
      <c r="EI77" s="58">
        <v>112</v>
      </c>
      <c r="EJ77" s="58">
        <v>89</v>
      </c>
      <c r="EK77" s="58" t="s">
        <v>920</v>
      </c>
      <c r="EL77" s="58">
        <v>48</v>
      </c>
      <c r="EM77" s="58">
        <v>89</v>
      </c>
      <c r="EN77" s="58">
        <v>78</v>
      </c>
      <c r="EO77" s="58">
        <v>118</v>
      </c>
      <c r="EP77" s="58">
        <v>76</v>
      </c>
      <c r="EQ77" s="58">
        <v>44</v>
      </c>
    </row>
    <row r="78" spans="1:147" x14ac:dyDescent="0.45">
      <c r="A78" t="s">
        <v>596</v>
      </c>
      <c r="B78" s="59" t="s">
        <v>599</v>
      </c>
      <c r="C78" s="37" t="s">
        <v>34</v>
      </c>
      <c r="D78" s="37" t="s">
        <v>882</v>
      </c>
      <c r="E78" s="104">
        <v>12558.992</v>
      </c>
      <c r="F78" s="104">
        <v>35652000</v>
      </c>
      <c r="G78" s="87">
        <v>46.472979037498831</v>
      </c>
      <c r="H78" s="1" t="s">
        <v>603</v>
      </c>
      <c r="I78" s="58">
        <v>72</v>
      </c>
      <c r="J78" s="87">
        <v>40.725585013912351</v>
      </c>
      <c r="K78" s="87">
        <v>37.831626480271289</v>
      </c>
      <c r="L78" s="87">
        <v>57.325975006741579</v>
      </c>
      <c r="M78" s="87">
        <v>50.008729649070126</v>
      </c>
      <c r="N78" s="58">
        <v>75</v>
      </c>
      <c r="O78" s="58">
        <v>77</v>
      </c>
      <c r="P78" s="58">
        <v>71</v>
      </c>
      <c r="Q78" s="58">
        <v>82</v>
      </c>
      <c r="R78" s="58">
        <v>70.510192782022983</v>
      </c>
      <c r="S78" s="58">
        <v>21.132841244578337</v>
      </c>
      <c r="T78" s="58">
        <v>30.533721015135725</v>
      </c>
      <c r="U78" s="58">
        <v>51.914266411256833</v>
      </c>
      <c r="V78" s="58">
        <v>24.858792179823453</v>
      </c>
      <c r="W78" s="58">
        <v>36.721820849733568</v>
      </c>
      <c r="X78" s="58">
        <v>47.281834961800143</v>
      </c>
      <c r="Y78" s="58">
        <v>49.335704948095966</v>
      </c>
      <c r="Z78" s="58">
        <v>75.36038511032865</v>
      </c>
      <c r="AA78" s="58">
        <v>22.399628334210622</v>
      </c>
      <c r="AB78" s="58">
        <v>76.488035194574493</v>
      </c>
      <c r="AC78" s="58">
        <v>51.138525418425274</v>
      </c>
      <c r="AD78" s="58">
        <v>60</v>
      </c>
      <c r="AE78" s="58">
        <v>76</v>
      </c>
      <c r="AF78" s="58">
        <v>82</v>
      </c>
      <c r="AG78" s="58">
        <v>62</v>
      </c>
      <c r="AH78" s="58">
        <v>87</v>
      </c>
      <c r="AI78" s="58">
        <v>74</v>
      </c>
      <c r="AJ78" s="58">
        <v>82</v>
      </c>
      <c r="AK78" s="58">
        <v>101</v>
      </c>
      <c r="AL78" s="58">
        <v>37</v>
      </c>
      <c r="AM78" s="58">
        <v>107</v>
      </c>
      <c r="AN78" s="58">
        <v>28</v>
      </c>
      <c r="AO78" s="58">
        <v>100</v>
      </c>
      <c r="AP78" s="58">
        <v>59.203422094791605</v>
      </c>
      <c r="AQ78" s="58">
        <v>33.512991763010795</v>
      </c>
      <c r="AR78" s="58">
        <v>66.721731199505641</v>
      </c>
      <c r="AS78" s="58">
        <v>84.210526315789465</v>
      </c>
      <c r="AT78" s="58">
        <v>82.063648109738125</v>
      </c>
      <c r="AU78" s="58">
        <v>97.348837209302303</v>
      </c>
      <c r="AV78" s="58">
        <v>2.8794782216522257</v>
      </c>
      <c r="AW78" s="58">
        <v>0.95607994922883455</v>
      </c>
      <c r="AX78" s="58">
        <v>65.62568277065391</v>
      </c>
      <c r="AY78" s="58">
        <v>15.070124036778388</v>
      </c>
      <c r="AZ78" s="58">
        <v>57.943867180625098</v>
      </c>
      <c r="BA78" s="58" t="s">
        <v>920</v>
      </c>
      <c r="BB78" s="58" t="s">
        <v>920</v>
      </c>
      <c r="BC78" s="58">
        <v>3.123574849646356</v>
      </c>
      <c r="BD78" s="58">
        <v>42.083104161027023</v>
      </c>
      <c r="BE78" s="58">
        <v>44.966800622631922</v>
      </c>
      <c r="BF78" s="58">
        <v>20.607160861368399</v>
      </c>
      <c r="BG78" s="58">
        <v>100</v>
      </c>
      <c r="BH78" s="58" t="s">
        <v>920</v>
      </c>
      <c r="BI78" s="58">
        <v>24.66705163939271</v>
      </c>
      <c r="BJ78" s="58" t="s">
        <v>920</v>
      </c>
      <c r="BK78" s="58">
        <v>48.46806074342846</v>
      </c>
      <c r="BL78" s="58">
        <v>1.4412641566491777</v>
      </c>
      <c r="BM78" s="58">
        <v>71.708713802769452</v>
      </c>
      <c r="BN78" s="58">
        <v>36.18154768953395</v>
      </c>
      <c r="BO78" s="58">
        <v>37.10782509869302</v>
      </c>
      <c r="BP78" s="58">
        <v>1.8891968079378541</v>
      </c>
      <c r="BQ78" s="58">
        <v>55.285431468228708</v>
      </c>
      <c r="BR78" s="58">
        <v>87.024844330022603</v>
      </c>
      <c r="BS78" s="58">
        <v>37.170736884956916</v>
      </c>
      <c r="BT78" s="58">
        <v>9.6463271639923445</v>
      </c>
      <c r="BU78" s="58">
        <v>27.793747830864596</v>
      </c>
      <c r="BV78" s="58">
        <v>48.437499999677733</v>
      </c>
      <c r="BW78" s="58" t="s">
        <v>920</v>
      </c>
      <c r="BX78" s="58">
        <v>100</v>
      </c>
      <c r="BY78" s="58">
        <v>21.111571961841559</v>
      </c>
      <c r="BZ78" s="58">
        <v>68.112568768514606</v>
      </c>
      <c r="CA78" s="58">
        <v>98.536164339010483</v>
      </c>
      <c r="CB78" s="58">
        <v>60.152378899103731</v>
      </c>
      <c r="CC78" s="58">
        <v>74.640428434685788</v>
      </c>
      <c r="CD78" s="58">
        <v>0</v>
      </c>
      <c r="CE78" s="58">
        <v>57.490777058427611</v>
      </c>
      <c r="CF78" s="58" t="s">
        <v>920</v>
      </c>
      <c r="CG78" s="58">
        <v>9.7081079442042526</v>
      </c>
      <c r="CH78" s="58">
        <v>65.527256478999107</v>
      </c>
      <c r="CI78" s="58">
        <v>95.442708333333329</v>
      </c>
      <c r="CJ78" s="58">
        <v>72.448979591836746</v>
      </c>
      <c r="CK78" s="58">
        <v>64.539301950945344</v>
      </c>
      <c r="CL78" s="58">
        <v>88.888888888888886</v>
      </c>
      <c r="CM78" s="58">
        <v>5.7897845563317754</v>
      </c>
      <c r="CN78" s="58">
        <v>74.545454545454547</v>
      </c>
      <c r="CO78" s="58">
        <v>44.671689989235745</v>
      </c>
      <c r="CP78" s="58">
        <v>70.205456276469221</v>
      </c>
      <c r="CQ78" s="58">
        <v>79</v>
      </c>
      <c r="CR78" s="58">
        <v>108</v>
      </c>
      <c r="CS78" s="58">
        <v>7</v>
      </c>
      <c r="CT78" s="58">
        <v>91</v>
      </c>
      <c r="CU78" s="58">
        <v>18</v>
      </c>
      <c r="CV78" s="58">
        <v>42</v>
      </c>
      <c r="CW78" s="58">
        <v>94</v>
      </c>
      <c r="CX78" s="58">
        <v>97</v>
      </c>
      <c r="CY78" s="58">
        <v>61</v>
      </c>
      <c r="CZ78" s="58">
        <v>40</v>
      </c>
      <c r="DA78" s="58">
        <v>70</v>
      </c>
      <c r="DB78" s="58" t="s">
        <v>920</v>
      </c>
      <c r="DC78" s="58" t="s">
        <v>920</v>
      </c>
      <c r="DD78" s="58">
        <v>108</v>
      </c>
      <c r="DE78" s="58">
        <v>21</v>
      </c>
      <c r="DF78" s="58">
        <v>76</v>
      </c>
      <c r="DG78" s="58">
        <v>106</v>
      </c>
      <c r="DH78" s="58">
        <v>1</v>
      </c>
      <c r="DI78" s="58" t="s">
        <v>920</v>
      </c>
      <c r="DJ78" s="58">
        <v>101</v>
      </c>
      <c r="DK78" s="58" t="s">
        <v>920</v>
      </c>
      <c r="DL78" s="58">
        <v>39</v>
      </c>
      <c r="DM78" s="58">
        <v>87</v>
      </c>
      <c r="DN78" s="58">
        <v>59</v>
      </c>
      <c r="DO78" s="58">
        <v>50</v>
      </c>
      <c r="DP78" s="58">
        <v>63</v>
      </c>
      <c r="DQ78" s="58">
        <v>93</v>
      </c>
      <c r="DR78" s="58">
        <v>73</v>
      </c>
      <c r="DS78" s="58">
        <v>65</v>
      </c>
      <c r="DT78" s="58">
        <v>33</v>
      </c>
      <c r="DU78" s="58">
        <v>93</v>
      </c>
      <c r="DV78" s="58">
        <v>100</v>
      </c>
      <c r="DW78" s="58">
        <v>98</v>
      </c>
      <c r="DX78" s="58" t="s">
        <v>920</v>
      </c>
      <c r="DY78" s="58">
        <v>1</v>
      </c>
      <c r="DZ78" s="58">
        <v>119</v>
      </c>
      <c r="EA78" s="58">
        <v>53</v>
      </c>
      <c r="EB78" s="58">
        <v>7</v>
      </c>
      <c r="EC78" s="58">
        <v>78</v>
      </c>
      <c r="ED78" s="58">
        <v>21</v>
      </c>
      <c r="EE78" s="58">
        <v>81</v>
      </c>
      <c r="EF78" s="58">
        <v>55</v>
      </c>
      <c r="EG78" s="58" t="s">
        <v>920</v>
      </c>
      <c r="EH78" s="58">
        <v>78</v>
      </c>
      <c r="EI78" s="58">
        <v>51</v>
      </c>
      <c r="EJ78" s="58">
        <v>6</v>
      </c>
      <c r="EK78" s="58">
        <v>57</v>
      </c>
      <c r="EL78" s="58">
        <v>73</v>
      </c>
      <c r="EM78" s="58">
        <v>58</v>
      </c>
      <c r="EN78" s="58">
        <v>81</v>
      </c>
      <c r="EO78" s="58">
        <v>72</v>
      </c>
      <c r="EP78" s="58">
        <v>114</v>
      </c>
      <c r="EQ78" s="58">
        <v>52</v>
      </c>
    </row>
    <row r="79" spans="1:147" x14ac:dyDescent="0.45">
      <c r="A79" t="s">
        <v>98</v>
      </c>
      <c r="B79" s="59" t="s">
        <v>369</v>
      </c>
      <c r="C79" s="37" t="s">
        <v>29</v>
      </c>
      <c r="D79" s="37" t="s">
        <v>882</v>
      </c>
      <c r="E79" s="104">
        <v>11437.147999999999</v>
      </c>
      <c r="F79" s="104">
        <v>37713000</v>
      </c>
      <c r="G79" s="87">
        <v>46.38250995984572</v>
      </c>
      <c r="H79" s="1" t="s">
        <v>220</v>
      </c>
      <c r="I79" s="58">
        <v>73</v>
      </c>
      <c r="J79" s="87">
        <v>47.800720321866358</v>
      </c>
      <c r="K79" s="87">
        <v>37.416302630280676</v>
      </c>
      <c r="L79" s="87">
        <v>55.529704000346818</v>
      </c>
      <c r="M79" s="87">
        <v>44.783312886889043</v>
      </c>
      <c r="N79" s="58">
        <v>47</v>
      </c>
      <c r="O79" s="58">
        <v>80</v>
      </c>
      <c r="P79" s="58">
        <v>75</v>
      </c>
      <c r="Q79" s="58">
        <v>99</v>
      </c>
      <c r="R79" s="58">
        <v>65.315827790895398</v>
      </c>
      <c r="S79" s="58">
        <v>41.789686670950005</v>
      </c>
      <c r="T79" s="58">
        <v>36.296646503753671</v>
      </c>
      <c r="U79" s="58">
        <v>47.481360635898916</v>
      </c>
      <c r="V79" s="58">
        <v>29.165536624466604</v>
      </c>
      <c r="W79" s="58">
        <v>35.602010630476506</v>
      </c>
      <c r="X79" s="58">
        <v>42.206387101792991</v>
      </c>
      <c r="Y79" s="58">
        <v>65.295999340627944</v>
      </c>
      <c r="Z79" s="58">
        <v>59.086725558619534</v>
      </c>
      <c r="AA79" s="58">
        <v>27.981409871706273</v>
      </c>
      <c r="AB79" s="58">
        <v>50.626837983449171</v>
      </c>
      <c r="AC79" s="58">
        <v>55.741690805511709</v>
      </c>
      <c r="AD79" s="58">
        <v>74</v>
      </c>
      <c r="AE79" s="58">
        <v>32</v>
      </c>
      <c r="AF79" s="58">
        <v>58</v>
      </c>
      <c r="AG79" s="58">
        <v>78</v>
      </c>
      <c r="AH79" s="58">
        <v>70</v>
      </c>
      <c r="AI79" s="58">
        <v>78</v>
      </c>
      <c r="AJ79" s="58">
        <v>97</v>
      </c>
      <c r="AK79" s="58">
        <v>55</v>
      </c>
      <c r="AL79" s="58">
        <v>73</v>
      </c>
      <c r="AM79" s="58">
        <v>85</v>
      </c>
      <c r="AN79" s="58">
        <v>95</v>
      </c>
      <c r="AO79" s="58">
        <v>91</v>
      </c>
      <c r="AP79" s="58">
        <v>49.921808464004201</v>
      </c>
      <c r="AQ79" s="58">
        <v>48.994872382463811</v>
      </c>
      <c r="AR79" s="58">
        <v>43.843391316562304</v>
      </c>
      <c r="AS79" s="58">
        <v>98.421052631578959</v>
      </c>
      <c r="AT79" s="58">
        <v>79.743985688556123</v>
      </c>
      <c r="AU79" s="58">
        <v>70.969856262207003</v>
      </c>
      <c r="AV79" s="58">
        <v>5.1545411800947338</v>
      </c>
      <c r="AW79" s="58">
        <v>1.5702733136214218</v>
      </c>
      <c r="AX79" s="58">
        <v>60.433932190083858</v>
      </c>
      <c r="AY79" s="58">
        <v>100</v>
      </c>
      <c r="AZ79" s="58">
        <v>54.732087087657057</v>
      </c>
      <c r="BA79" s="58">
        <v>35</v>
      </c>
      <c r="BB79" s="58" t="s">
        <v>920</v>
      </c>
      <c r="BC79" s="58">
        <v>19.157852423603959</v>
      </c>
      <c r="BD79" s="58">
        <v>31.946525312867035</v>
      </c>
      <c r="BE79" s="58">
        <v>57.099785963256686</v>
      </c>
      <c r="BF79" s="58">
        <v>56.263746652087335</v>
      </c>
      <c r="BG79" s="58">
        <v>44.61538461538462</v>
      </c>
      <c r="BH79" s="58" t="s">
        <v>920</v>
      </c>
      <c r="BI79" s="58">
        <v>62.520176966202726</v>
      </c>
      <c r="BJ79" s="58">
        <v>3.8291557772334608</v>
      </c>
      <c r="BK79" s="58">
        <v>46.799443363313074</v>
      </c>
      <c r="BL79" s="58">
        <v>3.5133703911171494</v>
      </c>
      <c r="BM79" s="58">
        <v>47.286485966241983</v>
      </c>
      <c r="BN79" s="58">
        <v>12.314367076159694</v>
      </c>
      <c r="BO79" s="58">
        <v>47.205178849027838</v>
      </c>
      <c r="BP79" s="58" t="s">
        <v>920</v>
      </c>
      <c r="BQ79" s="58">
        <v>51.079340352875406</v>
      </c>
      <c r="BR79" s="58">
        <v>96.988704478376491</v>
      </c>
      <c r="BS79" s="58">
        <v>12.40950814325751</v>
      </c>
      <c r="BT79" s="58">
        <v>8.3479954326625645</v>
      </c>
      <c r="BU79" s="58">
        <v>40.62160105409604</v>
      </c>
      <c r="BV79" s="58">
        <v>72.812499999830081</v>
      </c>
      <c r="BW79" s="58" t="s">
        <v>920</v>
      </c>
      <c r="BX79" s="58">
        <v>75</v>
      </c>
      <c r="BY79" s="58">
        <v>72.749896308585647</v>
      </c>
      <c r="BZ79" s="58">
        <v>40.58400338552687</v>
      </c>
      <c r="CA79" s="58">
        <v>83.980941132287711</v>
      </c>
      <c r="CB79" s="58">
        <v>60.522726055575816</v>
      </c>
      <c r="CC79" s="58">
        <v>51.259231661087753</v>
      </c>
      <c r="CD79" s="58">
        <v>0.31326712865758943</v>
      </c>
      <c r="CE79" s="58">
        <v>56.755420171646556</v>
      </c>
      <c r="CF79" s="58">
        <v>29.054371806323132</v>
      </c>
      <c r="CG79" s="58">
        <v>25.80258038019781</v>
      </c>
      <c r="CH79" s="58">
        <v>30.428954423592497</v>
      </c>
      <c r="CI79" s="58">
        <v>65.625</v>
      </c>
      <c r="CJ79" s="58" t="s">
        <v>920</v>
      </c>
      <c r="CK79" s="58">
        <v>61.026281070060861</v>
      </c>
      <c r="CL79" s="58">
        <v>75.555555555555557</v>
      </c>
      <c r="CM79" s="58">
        <v>7.8905948505459627</v>
      </c>
      <c r="CN79" s="58">
        <v>64.545454545454547</v>
      </c>
      <c r="CO79" s="58">
        <v>78.57911733046285</v>
      </c>
      <c r="CP79" s="58">
        <v>68.347637435611404</v>
      </c>
      <c r="CQ79" s="58">
        <v>97</v>
      </c>
      <c r="CR79" s="58">
        <v>84</v>
      </c>
      <c r="CS79" s="58">
        <v>35</v>
      </c>
      <c r="CT79" s="58">
        <v>48</v>
      </c>
      <c r="CU79" s="58">
        <v>23</v>
      </c>
      <c r="CV79" s="58">
        <v>54</v>
      </c>
      <c r="CW79" s="58">
        <v>74</v>
      </c>
      <c r="CX79" s="58">
        <v>87</v>
      </c>
      <c r="CY79" s="58">
        <v>78</v>
      </c>
      <c r="CZ79" s="58">
        <v>1</v>
      </c>
      <c r="DA79" s="58">
        <v>73</v>
      </c>
      <c r="DB79" s="58">
        <v>78</v>
      </c>
      <c r="DC79" s="58" t="s">
        <v>920</v>
      </c>
      <c r="DD79" s="58">
        <v>55</v>
      </c>
      <c r="DE79" s="58">
        <v>32</v>
      </c>
      <c r="DF79" s="58">
        <v>51</v>
      </c>
      <c r="DG79" s="58">
        <v>81</v>
      </c>
      <c r="DH79" s="58">
        <v>87</v>
      </c>
      <c r="DI79" s="58" t="s">
        <v>920</v>
      </c>
      <c r="DJ79" s="58">
        <v>48</v>
      </c>
      <c r="DK79" s="58">
        <v>70</v>
      </c>
      <c r="DL79" s="58">
        <v>45</v>
      </c>
      <c r="DM79" s="58">
        <v>72</v>
      </c>
      <c r="DN79" s="58">
        <v>95</v>
      </c>
      <c r="DO79" s="58">
        <v>85</v>
      </c>
      <c r="DP79" s="58">
        <v>39</v>
      </c>
      <c r="DQ79" s="58" t="s">
        <v>920</v>
      </c>
      <c r="DR79" s="58">
        <v>79</v>
      </c>
      <c r="DS79" s="58">
        <v>35</v>
      </c>
      <c r="DT79" s="58">
        <v>52</v>
      </c>
      <c r="DU79" s="58">
        <v>96</v>
      </c>
      <c r="DV79" s="58">
        <v>73</v>
      </c>
      <c r="DW79" s="58">
        <v>68</v>
      </c>
      <c r="DX79" s="58" t="s">
        <v>920</v>
      </c>
      <c r="DY79" s="58">
        <v>72</v>
      </c>
      <c r="DZ79" s="58">
        <v>45</v>
      </c>
      <c r="EA79" s="58">
        <v>92</v>
      </c>
      <c r="EB79" s="58">
        <v>41</v>
      </c>
      <c r="EC79" s="58">
        <v>76</v>
      </c>
      <c r="ED79" s="58">
        <v>50</v>
      </c>
      <c r="EE79" s="58">
        <v>64</v>
      </c>
      <c r="EF79" s="58">
        <v>56</v>
      </c>
      <c r="EG79" s="58">
        <v>77</v>
      </c>
      <c r="EH79" s="58">
        <v>37</v>
      </c>
      <c r="EI79" s="58">
        <v>101</v>
      </c>
      <c r="EJ79" s="58">
        <v>78</v>
      </c>
      <c r="EK79" s="58" t="s">
        <v>920</v>
      </c>
      <c r="EL79" s="58">
        <v>79</v>
      </c>
      <c r="EM79" s="58">
        <v>79</v>
      </c>
      <c r="EN79" s="58">
        <v>79</v>
      </c>
      <c r="EO79" s="58">
        <v>97</v>
      </c>
      <c r="EP79" s="58">
        <v>52</v>
      </c>
      <c r="EQ79" s="58">
        <v>54</v>
      </c>
    </row>
    <row r="80" spans="1:147" x14ac:dyDescent="0.45">
      <c r="A80" t="s">
        <v>107</v>
      </c>
      <c r="B80" s="59" t="s">
        <v>377</v>
      </c>
      <c r="C80" s="37" t="s">
        <v>37</v>
      </c>
      <c r="D80" s="37" t="s">
        <v>881</v>
      </c>
      <c r="E80" s="104">
        <v>16805.019</v>
      </c>
      <c r="F80" s="104">
        <v>17980000</v>
      </c>
      <c r="G80" s="87">
        <v>46.256771371147636</v>
      </c>
      <c r="H80" s="1" t="s">
        <v>229</v>
      </c>
      <c r="I80" s="58">
        <v>74</v>
      </c>
      <c r="J80" s="87">
        <v>34.913252246421472</v>
      </c>
      <c r="K80" s="87">
        <v>41.958147565681145</v>
      </c>
      <c r="L80" s="87">
        <v>55.417073242949989</v>
      </c>
      <c r="M80" s="87">
        <v>52.73861242953793</v>
      </c>
      <c r="N80" s="58">
        <v>88</v>
      </c>
      <c r="O80" s="58">
        <v>62</v>
      </c>
      <c r="P80" s="58">
        <v>76</v>
      </c>
      <c r="Q80" s="58">
        <v>70</v>
      </c>
      <c r="R80" s="58">
        <v>55.538672847602278</v>
      </c>
      <c r="S80" s="58">
        <v>18.696999405488025</v>
      </c>
      <c r="T80" s="58">
        <v>30.504084486174126</v>
      </c>
      <c r="U80" s="58">
        <v>51.930930265265559</v>
      </c>
      <c r="V80" s="58">
        <v>30.612728696685291</v>
      </c>
      <c r="W80" s="58">
        <v>43.330783735092588</v>
      </c>
      <c r="X80" s="58">
        <v>48.532538496450023</v>
      </c>
      <c r="Y80" s="58">
        <v>52.407363396866096</v>
      </c>
      <c r="Z80" s="58">
        <v>65.311317835533856</v>
      </c>
      <c r="AA80" s="58">
        <v>16.287869524662462</v>
      </c>
      <c r="AB80" s="58">
        <v>59.346059263697647</v>
      </c>
      <c r="AC80" s="58">
        <v>82.581908500253675</v>
      </c>
      <c r="AD80" s="58">
        <v>99</v>
      </c>
      <c r="AE80" s="58">
        <v>85</v>
      </c>
      <c r="AF80" s="58">
        <v>83</v>
      </c>
      <c r="AG80" s="58">
        <v>61</v>
      </c>
      <c r="AH80" s="58">
        <v>63</v>
      </c>
      <c r="AI80" s="58">
        <v>61</v>
      </c>
      <c r="AJ80" s="58">
        <v>74</v>
      </c>
      <c r="AK80" s="58">
        <v>86</v>
      </c>
      <c r="AL80" s="58">
        <v>61</v>
      </c>
      <c r="AM80" s="58">
        <v>122</v>
      </c>
      <c r="AN80" s="58">
        <v>82</v>
      </c>
      <c r="AO80" s="58">
        <v>21</v>
      </c>
      <c r="AP80" s="58">
        <v>55.803162636341099</v>
      </c>
      <c r="AQ80" s="58">
        <v>39.111557543387796</v>
      </c>
      <c r="AR80" s="58">
        <v>49.250964500909618</v>
      </c>
      <c r="AS80" s="58">
        <v>82.789473684210549</v>
      </c>
      <c r="AT80" s="58">
        <v>63.10357702398732</v>
      </c>
      <c r="AU80" s="58">
        <v>43.173301696777301</v>
      </c>
      <c r="AV80" s="58">
        <v>5.2023856688203978</v>
      </c>
      <c r="AW80" s="58">
        <v>1.6057472146486123</v>
      </c>
      <c r="AX80" s="58">
        <v>55.240249636578312</v>
      </c>
      <c r="AY80" s="58">
        <v>12.739615101904779</v>
      </c>
      <c r="AZ80" s="58">
        <v>48.160021901899277</v>
      </c>
      <c r="BA80" s="58">
        <v>23.250000000000004</v>
      </c>
      <c r="BB80" s="58" t="s">
        <v>920</v>
      </c>
      <c r="BC80" s="58">
        <v>20.102231556623099</v>
      </c>
      <c r="BD80" s="58">
        <v>11.043413612719597</v>
      </c>
      <c r="BE80" s="58">
        <v>28.190569926106011</v>
      </c>
      <c r="BF80" s="58">
        <v>74.643583676082784</v>
      </c>
      <c r="BG80" s="58">
        <v>93.84615384615384</v>
      </c>
      <c r="BH80" s="58" t="s">
        <v>920</v>
      </c>
      <c r="BI80" s="58">
        <v>83.322344938593801</v>
      </c>
      <c r="BJ80" s="58">
        <v>2.7987288560816985</v>
      </c>
      <c r="BK80" s="58" t="s">
        <v>920</v>
      </c>
      <c r="BL80" s="58">
        <v>5.717112295380379</v>
      </c>
      <c r="BM80" s="58">
        <v>86.173169235211319</v>
      </c>
      <c r="BN80" s="58">
        <v>26.73133329018733</v>
      </c>
      <c r="BO80" s="58">
        <v>17.087848679879141</v>
      </c>
      <c r="BP80" s="58" t="s">
        <v>920</v>
      </c>
      <c r="BQ80" s="58">
        <v>49.748567022333383</v>
      </c>
      <c r="BR80" s="58">
        <v>84.512967575287334</v>
      </c>
      <c r="BS80" s="58">
        <v>42.999245554741044</v>
      </c>
      <c r="BT80" s="58">
        <v>16.869373833438345</v>
      </c>
      <c r="BU80" s="58">
        <v>24.255675967445427</v>
      </c>
      <c r="BV80" s="58">
        <v>58.749999999742187</v>
      </c>
      <c r="BW80" s="58">
        <v>23.784355450987736</v>
      </c>
      <c r="BX80" s="58">
        <v>100</v>
      </c>
      <c r="BY80" s="58">
        <v>55.246785566155118</v>
      </c>
      <c r="BZ80" s="58">
        <v>86.955141768937793</v>
      </c>
      <c r="CA80" s="58">
        <v>32.403729713405824</v>
      </c>
      <c r="CB80" s="58">
        <v>72.847302845069791</v>
      </c>
      <c r="CC80" s="58">
        <v>69.039097014721989</v>
      </c>
      <c r="CD80" s="58">
        <v>0.1231108716176509</v>
      </c>
      <c r="CE80" s="58">
        <v>53.956273607838469</v>
      </c>
      <c r="CF80" s="58">
        <v>9.3997860098410158</v>
      </c>
      <c r="CG80" s="58">
        <v>1.6723076093527129</v>
      </c>
      <c r="CH80" s="58">
        <v>60.433422698838243</v>
      </c>
      <c r="CI80" s="58">
        <v>60.9375</v>
      </c>
      <c r="CJ80" s="58">
        <v>45.408163265306122</v>
      </c>
      <c r="CK80" s="58">
        <v>67.926346919203326</v>
      </c>
      <c r="CL80" s="58">
        <v>93.333333333333329</v>
      </c>
      <c r="CM80" s="58" t="s">
        <v>920</v>
      </c>
      <c r="CN80" s="58">
        <v>84.545454545454547</v>
      </c>
      <c r="CO80" s="58">
        <v>80.839612486544667</v>
      </c>
      <c r="CP80" s="58">
        <v>71.387983604190268</v>
      </c>
      <c r="CQ80" s="58">
        <v>85</v>
      </c>
      <c r="CR80" s="58">
        <v>100</v>
      </c>
      <c r="CS80" s="58">
        <v>21</v>
      </c>
      <c r="CT80" s="58">
        <v>95</v>
      </c>
      <c r="CU80" s="58">
        <v>107</v>
      </c>
      <c r="CV80" s="58">
        <v>66</v>
      </c>
      <c r="CW80" s="58">
        <v>73</v>
      </c>
      <c r="CX80" s="58">
        <v>86</v>
      </c>
      <c r="CY80" s="58">
        <v>92</v>
      </c>
      <c r="CZ80" s="58">
        <v>42</v>
      </c>
      <c r="DA80" s="58">
        <v>82</v>
      </c>
      <c r="DB80" s="58">
        <v>110</v>
      </c>
      <c r="DC80" s="58" t="s">
        <v>920</v>
      </c>
      <c r="DD80" s="58">
        <v>52</v>
      </c>
      <c r="DE80" s="58">
        <v>73</v>
      </c>
      <c r="DF80" s="58">
        <v>101</v>
      </c>
      <c r="DG80" s="58">
        <v>51</v>
      </c>
      <c r="DH80" s="58">
        <v>39</v>
      </c>
      <c r="DI80" s="58" t="s">
        <v>920</v>
      </c>
      <c r="DJ80" s="58">
        <v>21</v>
      </c>
      <c r="DK80" s="58">
        <v>75</v>
      </c>
      <c r="DL80" s="58" t="s">
        <v>920</v>
      </c>
      <c r="DM80" s="58">
        <v>58</v>
      </c>
      <c r="DN80" s="58">
        <v>25</v>
      </c>
      <c r="DO80" s="58">
        <v>64</v>
      </c>
      <c r="DP80" s="58">
        <v>100</v>
      </c>
      <c r="DQ80" s="58" t="s">
        <v>920</v>
      </c>
      <c r="DR80" s="58">
        <v>84</v>
      </c>
      <c r="DS80" s="58">
        <v>70</v>
      </c>
      <c r="DT80" s="58">
        <v>26</v>
      </c>
      <c r="DU80" s="58">
        <v>78</v>
      </c>
      <c r="DV80" s="58">
        <v>110</v>
      </c>
      <c r="DW80" s="58">
        <v>84</v>
      </c>
      <c r="DX80" s="58">
        <v>96</v>
      </c>
      <c r="DY80" s="58">
        <v>1</v>
      </c>
      <c r="DZ80" s="58">
        <v>80</v>
      </c>
      <c r="EA80" s="58">
        <v>21</v>
      </c>
      <c r="EB80" s="58">
        <v>111</v>
      </c>
      <c r="EC80" s="58">
        <v>9</v>
      </c>
      <c r="ED80" s="58">
        <v>31</v>
      </c>
      <c r="EE80" s="58">
        <v>73</v>
      </c>
      <c r="EF80" s="58">
        <v>63</v>
      </c>
      <c r="EG80" s="58">
        <v>101</v>
      </c>
      <c r="EH80" s="58">
        <v>114</v>
      </c>
      <c r="EI80" s="58">
        <v>60</v>
      </c>
      <c r="EJ80" s="58">
        <v>83</v>
      </c>
      <c r="EK80" s="58">
        <v>99</v>
      </c>
      <c r="EL80" s="58">
        <v>56</v>
      </c>
      <c r="EM80" s="58">
        <v>50</v>
      </c>
      <c r="EN80" s="58" t="s">
        <v>920</v>
      </c>
      <c r="EO80" s="58">
        <v>45</v>
      </c>
      <c r="EP80" s="58">
        <v>42</v>
      </c>
      <c r="EQ80" s="58">
        <v>51</v>
      </c>
    </row>
    <row r="81" spans="1:147" x14ac:dyDescent="0.45">
      <c r="A81" t="s">
        <v>95</v>
      </c>
      <c r="B81" s="59" t="s">
        <v>361</v>
      </c>
      <c r="C81" s="37" t="s">
        <v>34</v>
      </c>
      <c r="D81" s="37" t="s">
        <v>881</v>
      </c>
      <c r="E81" s="104">
        <v>26081.081999999999</v>
      </c>
      <c r="F81" s="104">
        <v>10318000</v>
      </c>
      <c r="G81" s="87">
        <v>46.076793968041528</v>
      </c>
      <c r="H81" s="1" t="s">
        <v>215</v>
      </c>
      <c r="I81" s="58">
        <v>75</v>
      </c>
      <c r="J81" s="87">
        <v>41.264716367094536</v>
      </c>
      <c r="K81" s="87">
        <v>39.767376187650854</v>
      </c>
      <c r="L81" s="87">
        <v>50.035177627022961</v>
      </c>
      <c r="M81" s="87">
        <v>53.239905690397755</v>
      </c>
      <c r="N81" s="58">
        <v>72</v>
      </c>
      <c r="O81" s="58">
        <v>70</v>
      </c>
      <c r="P81" s="58">
        <v>93</v>
      </c>
      <c r="Q81" s="58">
        <v>65</v>
      </c>
      <c r="R81" s="58">
        <v>71.11814512024479</v>
      </c>
      <c r="S81" s="58">
        <v>16.911601040270423</v>
      </c>
      <c r="T81" s="58">
        <v>35.764402940768399</v>
      </c>
      <c r="U81" s="58">
        <v>53.749469152179472</v>
      </c>
      <c r="V81" s="58">
        <v>34.906854111954082</v>
      </c>
      <c r="W81" s="58">
        <v>30.645805298818999</v>
      </c>
      <c r="X81" s="58">
        <v>47.67135543635937</v>
      </c>
      <c r="Y81" s="58">
        <v>56.04713919436012</v>
      </c>
      <c r="Z81" s="58">
        <v>46.387038250349406</v>
      </c>
      <c r="AA81" s="58">
        <v>43.290110103106535</v>
      </c>
      <c r="AB81" s="58">
        <v>55.988694747799208</v>
      </c>
      <c r="AC81" s="58">
        <v>60.440912220287515</v>
      </c>
      <c r="AD81" s="58">
        <v>57</v>
      </c>
      <c r="AE81" s="58">
        <v>94</v>
      </c>
      <c r="AF81" s="58">
        <v>60</v>
      </c>
      <c r="AG81" s="58">
        <v>53</v>
      </c>
      <c r="AH81" s="58">
        <v>48</v>
      </c>
      <c r="AI81" s="58">
        <v>89</v>
      </c>
      <c r="AJ81" s="58">
        <v>79</v>
      </c>
      <c r="AK81" s="58">
        <v>77</v>
      </c>
      <c r="AL81" s="58">
        <v>106</v>
      </c>
      <c r="AM81" s="58">
        <v>33</v>
      </c>
      <c r="AN81" s="58">
        <v>90</v>
      </c>
      <c r="AO81" s="58">
        <v>79</v>
      </c>
      <c r="AP81" s="58">
        <v>70.482455664725293</v>
      </c>
      <c r="AQ81" s="58">
        <v>63.11415850293605</v>
      </c>
      <c r="AR81" s="58">
        <v>41.380704737887378</v>
      </c>
      <c r="AS81" s="58">
        <v>100</v>
      </c>
      <c r="AT81" s="58">
        <v>76.46636932080294</v>
      </c>
      <c r="AU81" s="58">
        <v>75.265182495117102</v>
      </c>
      <c r="AV81" s="58">
        <v>4.7848340732041983</v>
      </c>
      <c r="AW81" s="58">
        <v>1.4457591133274832</v>
      </c>
      <c r="AX81" s="58">
        <v>58.606346245722285</v>
      </c>
      <c r="AY81" s="58">
        <v>2.8094647288277161</v>
      </c>
      <c r="AZ81" s="58" t="s">
        <v>920</v>
      </c>
      <c r="BA81" s="58">
        <v>67</v>
      </c>
      <c r="BB81" s="58" t="s">
        <v>920</v>
      </c>
      <c r="BC81" s="58">
        <v>4.5288058815367913</v>
      </c>
      <c r="BD81" s="58">
        <v>5.9816454422548047</v>
      </c>
      <c r="BE81" s="58" t="s">
        <v>920</v>
      </c>
      <c r="BF81" s="58">
        <v>55.266762014283621</v>
      </c>
      <c r="BG81" s="58">
        <v>100</v>
      </c>
      <c r="BH81" s="58" t="s">
        <v>920</v>
      </c>
      <c r="BI81" s="58">
        <v>61.724465622996505</v>
      </c>
      <c r="BJ81" s="58" t="s">
        <v>920</v>
      </c>
      <c r="BK81" s="58">
        <v>41.159844623703222</v>
      </c>
      <c r="BL81" s="58">
        <v>1.8362520891625145</v>
      </c>
      <c r="BM81" s="58">
        <v>68.555479361412893</v>
      </c>
      <c r="BN81" s="58">
        <v>20.601470464099311</v>
      </c>
      <c r="BO81" s="58" t="s">
        <v>920</v>
      </c>
      <c r="BP81" s="58">
        <v>2.780466070944799</v>
      </c>
      <c r="BQ81" s="58">
        <v>50.547211182689956</v>
      </c>
      <c r="BR81" s="58">
        <v>92.700160708738395</v>
      </c>
      <c r="BS81" s="58">
        <v>34.140978477712984</v>
      </c>
      <c r="BT81" s="58">
        <v>13.297071376296152</v>
      </c>
      <c r="BU81" s="58">
        <v>39.505463662907822</v>
      </c>
      <c r="BV81" s="58">
        <v>42.812499999642576</v>
      </c>
      <c r="BW81" s="58" t="s">
        <v>920</v>
      </c>
      <c r="BX81" s="58">
        <v>100</v>
      </c>
      <c r="BY81" s="58">
        <v>41.870593114890085</v>
      </c>
      <c r="BZ81" s="58">
        <v>46.381718154887849</v>
      </c>
      <c r="CA81" s="58">
        <v>36.526767548639484</v>
      </c>
      <c r="CB81" s="58">
        <v>53.213397270269503</v>
      </c>
      <c r="CC81" s="58">
        <v>49.426270027600808</v>
      </c>
      <c r="CD81" s="58" t="s">
        <v>920</v>
      </c>
      <c r="CE81" s="58">
        <v>52.418312291356408</v>
      </c>
      <c r="CF81" s="58">
        <v>74.087306722384085</v>
      </c>
      <c r="CG81" s="58">
        <v>3.3647112955790961</v>
      </c>
      <c r="CH81" s="58">
        <v>36.08132260947275</v>
      </c>
      <c r="CI81" s="58">
        <v>70.442708333333343</v>
      </c>
      <c r="CJ81" s="58" t="s">
        <v>920</v>
      </c>
      <c r="CK81" s="58">
        <v>66.895411853383862</v>
      </c>
      <c r="CL81" s="58">
        <v>68.888888888888886</v>
      </c>
      <c r="CM81" s="58">
        <v>17.923247572289945</v>
      </c>
      <c r="CN81" s="58">
        <v>78.181818181818187</v>
      </c>
      <c r="CO81" s="58">
        <v>72.65877287405813</v>
      </c>
      <c r="CP81" s="58">
        <v>77.110731617078713</v>
      </c>
      <c r="CQ81" s="58">
        <v>56</v>
      </c>
      <c r="CR81" s="58">
        <v>67</v>
      </c>
      <c r="CS81" s="58">
        <v>39</v>
      </c>
      <c r="CT81" s="58">
        <v>1</v>
      </c>
      <c r="CU81" s="58">
        <v>38</v>
      </c>
      <c r="CV81" s="58">
        <v>52</v>
      </c>
      <c r="CW81" s="58">
        <v>78</v>
      </c>
      <c r="CX81" s="58">
        <v>90</v>
      </c>
      <c r="CY81" s="58">
        <v>84</v>
      </c>
      <c r="CZ81" s="58">
        <v>78</v>
      </c>
      <c r="DA81" s="58" t="s">
        <v>920</v>
      </c>
      <c r="DB81" s="58">
        <v>23</v>
      </c>
      <c r="DC81" s="58" t="s">
        <v>920</v>
      </c>
      <c r="DD81" s="58">
        <v>98</v>
      </c>
      <c r="DE81" s="58">
        <v>91</v>
      </c>
      <c r="DF81" s="58" t="s">
        <v>920</v>
      </c>
      <c r="DG81" s="58">
        <v>83</v>
      </c>
      <c r="DH81" s="58">
        <v>1</v>
      </c>
      <c r="DI81" s="58" t="s">
        <v>920</v>
      </c>
      <c r="DJ81" s="58">
        <v>49</v>
      </c>
      <c r="DK81" s="58" t="s">
        <v>920</v>
      </c>
      <c r="DL81" s="58">
        <v>64</v>
      </c>
      <c r="DM81" s="58">
        <v>84</v>
      </c>
      <c r="DN81" s="58">
        <v>66</v>
      </c>
      <c r="DO81" s="58">
        <v>73</v>
      </c>
      <c r="DP81" s="58" t="s">
        <v>920</v>
      </c>
      <c r="DQ81" s="58">
        <v>84</v>
      </c>
      <c r="DR81" s="58">
        <v>81</v>
      </c>
      <c r="DS81" s="58">
        <v>50</v>
      </c>
      <c r="DT81" s="58">
        <v>37</v>
      </c>
      <c r="DU81" s="58">
        <v>85</v>
      </c>
      <c r="DV81" s="58">
        <v>75</v>
      </c>
      <c r="DW81" s="58">
        <v>107</v>
      </c>
      <c r="DX81" s="58" t="s">
        <v>920</v>
      </c>
      <c r="DY81" s="58">
        <v>1</v>
      </c>
      <c r="DZ81" s="58">
        <v>98</v>
      </c>
      <c r="EA81" s="58">
        <v>85</v>
      </c>
      <c r="EB81" s="58">
        <v>110</v>
      </c>
      <c r="EC81" s="58">
        <v>88</v>
      </c>
      <c r="ED81" s="58">
        <v>53</v>
      </c>
      <c r="EE81" s="58" t="s">
        <v>920</v>
      </c>
      <c r="EF81" s="58">
        <v>68</v>
      </c>
      <c r="EG81" s="58">
        <v>15</v>
      </c>
      <c r="EH81" s="58">
        <v>103</v>
      </c>
      <c r="EI81" s="58">
        <v>97</v>
      </c>
      <c r="EJ81" s="58">
        <v>64</v>
      </c>
      <c r="EK81" s="58" t="s">
        <v>920</v>
      </c>
      <c r="EL81" s="58">
        <v>59</v>
      </c>
      <c r="EM81" s="58">
        <v>86</v>
      </c>
      <c r="EN81" s="58">
        <v>68</v>
      </c>
      <c r="EO81" s="58">
        <v>62</v>
      </c>
      <c r="EP81" s="58">
        <v>76</v>
      </c>
      <c r="EQ81" s="58">
        <v>39</v>
      </c>
    </row>
    <row r="82" spans="1:147" x14ac:dyDescent="0.45">
      <c r="A82" t="s">
        <v>99</v>
      </c>
      <c r="B82" s="59" t="s">
        <v>372</v>
      </c>
      <c r="C82" s="37" t="s">
        <v>37</v>
      </c>
      <c r="D82" s="37" t="s">
        <v>881</v>
      </c>
      <c r="E82" s="104">
        <v>30537.613000000001</v>
      </c>
      <c r="F82" s="104">
        <v>11331000</v>
      </c>
      <c r="G82" s="87">
        <v>46.003359851144701</v>
      </c>
      <c r="H82" s="1" t="s">
        <v>221</v>
      </c>
      <c r="I82" s="58">
        <v>76</v>
      </c>
      <c r="J82" s="87">
        <v>33.513663747848582</v>
      </c>
      <c r="K82" s="87">
        <v>40.726419392560693</v>
      </c>
      <c r="L82" s="87">
        <v>58.95999250291792</v>
      </c>
      <c r="M82" s="87">
        <v>50.813363761251615</v>
      </c>
      <c r="N82" s="58">
        <v>93</v>
      </c>
      <c r="O82" s="58">
        <v>67</v>
      </c>
      <c r="P82" s="58">
        <v>67</v>
      </c>
      <c r="Q82" s="58">
        <v>80</v>
      </c>
      <c r="R82" s="58">
        <v>61.108373427862198</v>
      </c>
      <c r="S82" s="58">
        <v>13.990013569528596</v>
      </c>
      <c r="T82" s="58">
        <v>25.442604246154961</v>
      </c>
      <c r="U82" s="58">
        <v>51.50366826844526</v>
      </c>
      <c r="V82" s="58">
        <v>27.24457860159654</v>
      </c>
      <c r="W82" s="58">
        <v>43.431011307640269</v>
      </c>
      <c r="X82" s="58">
        <v>42.751335475729419</v>
      </c>
      <c r="Y82" s="58">
        <v>66.925170867314776</v>
      </c>
      <c r="Z82" s="58">
        <v>67.203471165709587</v>
      </c>
      <c r="AA82" s="58">
        <v>29.454067046730767</v>
      </c>
      <c r="AB82" s="58">
        <v>67.332431297292075</v>
      </c>
      <c r="AC82" s="58">
        <v>55.653592939731993</v>
      </c>
      <c r="AD82" s="58">
        <v>82</v>
      </c>
      <c r="AE82" s="58">
        <v>102</v>
      </c>
      <c r="AF82" s="58">
        <v>98</v>
      </c>
      <c r="AG82" s="58">
        <v>65</v>
      </c>
      <c r="AH82" s="58">
        <v>77</v>
      </c>
      <c r="AI82" s="58">
        <v>60</v>
      </c>
      <c r="AJ82" s="58">
        <v>95</v>
      </c>
      <c r="AK82" s="58">
        <v>52</v>
      </c>
      <c r="AL82" s="58">
        <v>57</v>
      </c>
      <c r="AM82" s="58">
        <v>77</v>
      </c>
      <c r="AN82" s="58">
        <v>61</v>
      </c>
      <c r="AO82" s="58">
        <v>92</v>
      </c>
      <c r="AP82" s="58">
        <v>58.767941827321899</v>
      </c>
      <c r="AQ82" s="58">
        <v>62.638439638689782</v>
      </c>
      <c r="AR82" s="58">
        <v>31.398001667540349</v>
      </c>
      <c r="AS82" s="58">
        <v>93.157894736842124</v>
      </c>
      <c r="AT82" s="58">
        <v>68.002911732423655</v>
      </c>
      <c r="AU82" s="58">
        <v>52.685050964355398</v>
      </c>
      <c r="AV82" s="58">
        <v>4.3090151723780039</v>
      </c>
      <c r="AW82" s="58">
        <v>2.0359613636204861</v>
      </c>
      <c r="AX82" s="58">
        <v>49.500304117248405</v>
      </c>
      <c r="AY82" s="58">
        <v>0.11477362486748949</v>
      </c>
      <c r="AZ82" s="58">
        <v>46.36427321699076</v>
      </c>
      <c r="BA82" s="58">
        <v>29.000000000000004</v>
      </c>
      <c r="BB82" s="58" t="s">
        <v>920</v>
      </c>
      <c r="BC82" s="58">
        <v>0.96353952147412036</v>
      </c>
      <c r="BD82" s="58">
        <v>14.217178480016649</v>
      </c>
      <c r="BE82" s="58">
        <v>35.989608639533209</v>
      </c>
      <c r="BF82" s="58">
        <v>65.038655185000422</v>
      </c>
      <c r="BG82" s="58">
        <v>90.769230769230759</v>
      </c>
      <c r="BH82" s="58" t="s">
        <v>920</v>
      </c>
      <c r="BI82" s="58">
        <v>36.034356542338656</v>
      </c>
      <c r="BJ82" s="58" t="s">
        <v>920</v>
      </c>
      <c r="BK82" s="58">
        <v>39.87765320409504</v>
      </c>
      <c r="BL82" s="58">
        <v>5.8217260583559156</v>
      </c>
      <c r="BM82" s="58">
        <v>56.746189290311712</v>
      </c>
      <c r="BN82" s="58">
        <v>34.54801868529379</v>
      </c>
      <c r="BO82" s="58">
        <v>38.998825947315325</v>
      </c>
      <c r="BP82" s="58" t="s">
        <v>920</v>
      </c>
      <c r="BQ82" s="58">
        <v>41.427031100002374</v>
      </c>
      <c r="BR82" s="58">
        <v>70.957936744999174</v>
      </c>
      <c r="BS82" s="58">
        <v>36.232827114823714</v>
      </c>
      <c r="BT82" s="58">
        <v>22.387546943092424</v>
      </c>
      <c r="BU82" s="58">
        <v>46.512268706858514</v>
      </c>
      <c r="BV82" s="58">
        <v>94.374999999964842</v>
      </c>
      <c r="BW82" s="58">
        <v>26.691717110463919</v>
      </c>
      <c r="BX82" s="58">
        <v>100</v>
      </c>
      <c r="BY82" s="58">
        <v>67.046868519286605</v>
      </c>
      <c r="BZ82" s="58">
        <v>63.764282691493868</v>
      </c>
      <c r="CA82" s="58">
        <v>48.120975874466204</v>
      </c>
      <c r="CB82" s="58">
        <v>69.179816190776549</v>
      </c>
      <c r="CC82" s="58">
        <v>87.748809906101698</v>
      </c>
      <c r="CD82" s="58" t="s">
        <v>920</v>
      </c>
      <c r="CE82" s="58">
        <v>54.458474257500896</v>
      </c>
      <c r="CF82" s="58">
        <v>32.48200178640753</v>
      </c>
      <c r="CG82" s="58">
        <v>1.4217250962838681</v>
      </c>
      <c r="CH82" s="58">
        <v>57.774798927613944</v>
      </c>
      <c r="CI82" s="58">
        <v>80.989583333333329</v>
      </c>
      <c r="CJ82" s="58">
        <v>61.224489795918373</v>
      </c>
      <c r="CK82" s="58">
        <v>65.241333465939533</v>
      </c>
      <c r="CL82" s="58">
        <v>93.333333333333329</v>
      </c>
      <c r="CM82" s="58">
        <v>5.3126135960287941</v>
      </c>
      <c r="CN82" s="58">
        <v>80</v>
      </c>
      <c r="CO82" s="58">
        <v>90.635091496232505</v>
      </c>
      <c r="CP82" s="58">
        <v>0</v>
      </c>
      <c r="CQ82" s="58">
        <v>81</v>
      </c>
      <c r="CR82" s="58">
        <v>69</v>
      </c>
      <c r="CS82" s="58">
        <v>63</v>
      </c>
      <c r="CT82" s="58">
        <v>75</v>
      </c>
      <c r="CU82" s="58">
        <v>85</v>
      </c>
      <c r="CV82" s="58">
        <v>62</v>
      </c>
      <c r="CW82" s="58">
        <v>82</v>
      </c>
      <c r="CX82" s="58">
        <v>80</v>
      </c>
      <c r="CY82" s="58">
        <v>99</v>
      </c>
      <c r="CZ82" s="58">
        <v>119</v>
      </c>
      <c r="DA82" s="58">
        <v>86</v>
      </c>
      <c r="DB82" s="58">
        <v>95</v>
      </c>
      <c r="DC82" s="58" t="s">
        <v>920</v>
      </c>
      <c r="DD82" s="58">
        <v>120</v>
      </c>
      <c r="DE82" s="58">
        <v>66</v>
      </c>
      <c r="DF82" s="58">
        <v>90</v>
      </c>
      <c r="DG82" s="58">
        <v>70</v>
      </c>
      <c r="DH82" s="58">
        <v>53</v>
      </c>
      <c r="DI82" s="58" t="s">
        <v>920</v>
      </c>
      <c r="DJ82" s="58">
        <v>89</v>
      </c>
      <c r="DK82" s="58" t="s">
        <v>920</v>
      </c>
      <c r="DL82" s="58">
        <v>67</v>
      </c>
      <c r="DM82" s="58">
        <v>57</v>
      </c>
      <c r="DN82" s="58">
        <v>84</v>
      </c>
      <c r="DO82" s="58">
        <v>53</v>
      </c>
      <c r="DP82" s="58">
        <v>59</v>
      </c>
      <c r="DQ82" s="58" t="s">
        <v>920</v>
      </c>
      <c r="DR82" s="58">
        <v>99</v>
      </c>
      <c r="DS82" s="58">
        <v>86</v>
      </c>
      <c r="DT82" s="58">
        <v>34</v>
      </c>
      <c r="DU82" s="58">
        <v>68</v>
      </c>
      <c r="DV82" s="58">
        <v>61</v>
      </c>
      <c r="DW82" s="58">
        <v>5</v>
      </c>
      <c r="DX82" s="58">
        <v>92</v>
      </c>
      <c r="DY82" s="58">
        <v>1</v>
      </c>
      <c r="DZ82" s="58">
        <v>54</v>
      </c>
      <c r="EA82" s="58">
        <v>61</v>
      </c>
      <c r="EB82" s="58">
        <v>97</v>
      </c>
      <c r="EC82" s="58">
        <v>21</v>
      </c>
      <c r="ED82" s="58">
        <v>5</v>
      </c>
      <c r="EE82" s="58" t="s">
        <v>920</v>
      </c>
      <c r="EF82" s="58">
        <v>62</v>
      </c>
      <c r="EG82" s="58">
        <v>71</v>
      </c>
      <c r="EH82" s="58">
        <v>117</v>
      </c>
      <c r="EI82" s="58">
        <v>74</v>
      </c>
      <c r="EJ82" s="58">
        <v>42</v>
      </c>
      <c r="EK82" s="58">
        <v>77</v>
      </c>
      <c r="EL82" s="58">
        <v>71</v>
      </c>
      <c r="EM82" s="58">
        <v>50</v>
      </c>
      <c r="EN82" s="58">
        <v>82</v>
      </c>
      <c r="EO82" s="58">
        <v>58</v>
      </c>
      <c r="EP82" s="58">
        <v>13</v>
      </c>
      <c r="EQ82" s="58">
        <v>126</v>
      </c>
    </row>
    <row r="83" spans="1:147" x14ac:dyDescent="0.45">
      <c r="A83" t="s">
        <v>101</v>
      </c>
      <c r="B83" s="59" t="s">
        <v>366</v>
      </c>
      <c r="C83" s="37" t="s">
        <v>25</v>
      </c>
      <c r="D83" s="37" t="s">
        <v>882</v>
      </c>
      <c r="E83" s="104">
        <v>7556.076</v>
      </c>
      <c r="F83" s="104">
        <v>55339000</v>
      </c>
      <c r="G83" s="87">
        <v>45.767051743046771</v>
      </c>
      <c r="H83" s="1" t="s">
        <v>223</v>
      </c>
      <c r="I83" s="58">
        <v>77</v>
      </c>
      <c r="J83" s="87">
        <v>42.090895066416728</v>
      </c>
      <c r="K83" s="87">
        <v>34.255201307539984</v>
      </c>
      <c r="L83" s="87">
        <v>60.021106509227309</v>
      </c>
      <c r="M83" s="87">
        <v>46.701004089003085</v>
      </c>
      <c r="N83" s="58">
        <v>70</v>
      </c>
      <c r="O83" s="58">
        <v>90</v>
      </c>
      <c r="P83" s="58">
        <v>66</v>
      </c>
      <c r="Q83" s="58">
        <v>92</v>
      </c>
      <c r="R83" s="58">
        <v>66.664303680869793</v>
      </c>
      <c r="S83" s="58">
        <v>17.962253006479294</v>
      </c>
      <c r="T83" s="58">
        <v>41.646128511901097</v>
      </c>
      <c r="U83" s="58">
        <v>44.134585479287338</v>
      </c>
      <c r="V83" s="58">
        <v>24.217935650954185</v>
      </c>
      <c r="W83" s="58">
        <v>34.413082792378418</v>
      </c>
      <c r="X83" s="58">
        <v>53.129488869598148</v>
      </c>
      <c r="Y83" s="58">
        <v>64.539452950371214</v>
      </c>
      <c r="Z83" s="58">
        <v>62.39437770771255</v>
      </c>
      <c r="AA83" s="58">
        <v>32.144406170821597</v>
      </c>
      <c r="AB83" s="58">
        <v>45.446617713671323</v>
      </c>
      <c r="AC83" s="58">
        <v>62.511988382516336</v>
      </c>
      <c r="AD83" s="58">
        <v>72</v>
      </c>
      <c r="AE83" s="58">
        <v>90</v>
      </c>
      <c r="AF83" s="58">
        <v>42</v>
      </c>
      <c r="AG83" s="58">
        <v>93</v>
      </c>
      <c r="AH83" s="58">
        <v>88</v>
      </c>
      <c r="AI83" s="58">
        <v>84</v>
      </c>
      <c r="AJ83" s="58">
        <v>67</v>
      </c>
      <c r="AK83" s="58">
        <v>57</v>
      </c>
      <c r="AL83" s="58">
        <v>69</v>
      </c>
      <c r="AM83" s="58">
        <v>64</v>
      </c>
      <c r="AN83" s="58">
        <v>108</v>
      </c>
      <c r="AO83" s="58">
        <v>67</v>
      </c>
      <c r="AP83" s="58">
        <v>76.395492402890298</v>
      </c>
      <c r="AQ83" s="58">
        <v>35.902187758492929</v>
      </c>
      <c r="AR83" s="58">
        <v>47.727429104946708</v>
      </c>
      <c r="AS83" s="58">
        <v>89.473684210526315</v>
      </c>
      <c r="AT83" s="58">
        <v>83.822724927492729</v>
      </c>
      <c r="AU83" s="58" t="s">
        <v>920</v>
      </c>
      <c r="AV83" s="58">
        <v>6.571695836088506</v>
      </c>
      <c r="AW83" s="58">
        <v>0.94966440203550795</v>
      </c>
      <c r="AX83" s="58">
        <v>55.579242314458767</v>
      </c>
      <c r="AY83" s="58">
        <v>8.7484094733343944</v>
      </c>
      <c r="AZ83" s="58">
        <v>56.410849262248554</v>
      </c>
      <c r="BA83" s="58">
        <v>60.000000000000007</v>
      </c>
      <c r="BB83" s="58" t="s">
        <v>920</v>
      </c>
      <c r="BC83" s="58">
        <v>8.527536273454734</v>
      </c>
      <c r="BD83" s="58">
        <v>18.291459794523483</v>
      </c>
      <c r="BE83" s="58">
        <v>64.427945247316387</v>
      </c>
      <c r="BF83" s="58">
        <v>19.78324456761716</v>
      </c>
      <c r="BG83" s="58">
        <v>74.035692307692301</v>
      </c>
      <c r="BH83" s="58" t="s">
        <v>920</v>
      </c>
      <c r="BI83" s="58">
        <v>42.059028140900011</v>
      </c>
      <c r="BJ83" s="58">
        <v>8.2300547403160227</v>
      </c>
      <c r="BK83" s="58">
        <v>43.892663653682256</v>
      </c>
      <c r="BL83" s="58">
        <v>2.6899960689184566</v>
      </c>
      <c r="BM83" s="58">
        <v>73.176453603782434</v>
      </c>
      <c r="BN83" s="58">
        <v>10.836886945910001</v>
      </c>
      <c r="BO83" s="58">
        <v>40.970183067106248</v>
      </c>
      <c r="BP83" s="58">
        <v>12.668807552715004</v>
      </c>
      <c r="BQ83" s="58">
        <v>48.056934752264205</v>
      </c>
      <c r="BR83" s="58">
        <v>98.308029789330575</v>
      </c>
      <c r="BS83" s="58">
        <v>42.962905296050558</v>
      </c>
      <c r="BT83" s="58">
        <v>23.190085640747252</v>
      </c>
      <c r="BU83" s="58">
        <v>32.448595856106493</v>
      </c>
      <c r="BV83" s="58">
        <v>86.874999999917975</v>
      </c>
      <c r="BW83" s="58">
        <v>39.83157018160513</v>
      </c>
      <c r="BX83" s="58">
        <v>100</v>
      </c>
      <c r="BY83" s="58">
        <v>63.542098714226455</v>
      </c>
      <c r="BZ83" s="58">
        <v>49.269995768091398</v>
      </c>
      <c r="CA83" s="58">
        <v>83.694548555991616</v>
      </c>
      <c r="CB83" s="58">
        <v>40.028369786172121</v>
      </c>
      <c r="CC83" s="58">
        <v>76.584596720595087</v>
      </c>
      <c r="CD83" s="58">
        <v>7.6246621919416863E-2</v>
      </c>
      <c r="CE83" s="58">
        <v>56.223433680967183</v>
      </c>
      <c r="CF83" s="58">
        <v>31.17344249566812</v>
      </c>
      <c r="CG83" s="58">
        <v>41.104501884731654</v>
      </c>
      <c r="CH83" s="58">
        <v>27.926720285969616</v>
      </c>
      <c r="CI83" s="58">
        <v>52.734375</v>
      </c>
      <c r="CJ83" s="58">
        <v>64.540816326530603</v>
      </c>
      <c r="CK83" s="58">
        <v>46.816699383558124</v>
      </c>
      <c r="CL83" s="58">
        <v>40</v>
      </c>
      <c r="CM83" s="58" t="s">
        <v>920</v>
      </c>
      <c r="CN83" s="58">
        <v>76.363636363636374</v>
      </c>
      <c r="CO83" s="58">
        <v>65.123789020452094</v>
      </c>
      <c r="CP83" s="58">
        <v>52.0970795269211</v>
      </c>
      <c r="CQ83" s="58">
        <v>46</v>
      </c>
      <c r="CR83" s="58">
        <v>105</v>
      </c>
      <c r="CS83" s="58">
        <v>24</v>
      </c>
      <c r="CT83" s="58">
        <v>83</v>
      </c>
      <c r="CU83" s="58">
        <v>14</v>
      </c>
      <c r="CV83" s="58" t="s">
        <v>920</v>
      </c>
      <c r="CW83" s="58">
        <v>64</v>
      </c>
      <c r="CX83" s="58">
        <v>98</v>
      </c>
      <c r="CY83" s="58">
        <v>89</v>
      </c>
      <c r="CZ83" s="58">
        <v>49</v>
      </c>
      <c r="DA83" s="58">
        <v>71</v>
      </c>
      <c r="DB83" s="58">
        <v>32</v>
      </c>
      <c r="DC83" s="58" t="s">
        <v>920</v>
      </c>
      <c r="DD83" s="58">
        <v>86</v>
      </c>
      <c r="DE83" s="58">
        <v>56</v>
      </c>
      <c r="DF83" s="58">
        <v>40</v>
      </c>
      <c r="DG83" s="58">
        <v>108</v>
      </c>
      <c r="DH83" s="58">
        <v>67</v>
      </c>
      <c r="DI83" s="58" t="s">
        <v>920</v>
      </c>
      <c r="DJ83" s="58">
        <v>77</v>
      </c>
      <c r="DK83" s="58">
        <v>54</v>
      </c>
      <c r="DL83" s="58">
        <v>57</v>
      </c>
      <c r="DM83" s="58">
        <v>74</v>
      </c>
      <c r="DN83" s="58">
        <v>55</v>
      </c>
      <c r="DO83" s="58">
        <v>88</v>
      </c>
      <c r="DP83" s="58">
        <v>50</v>
      </c>
      <c r="DQ83" s="58">
        <v>46</v>
      </c>
      <c r="DR83" s="58">
        <v>91</v>
      </c>
      <c r="DS83" s="58">
        <v>28</v>
      </c>
      <c r="DT83" s="58">
        <v>27</v>
      </c>
      <c r="DU83" s="58">
        <v>66</v>
      </c>
      <c r="DV83" s="58">
        <v>93</v>
      </c>
      <c r="DW83" s="58">
        <v>27</v>
      </c>
      <c r="DX83" s="58">
        <v>75</v>
      </c>
      <c r="DY83" s="58">
        <v>1</v>
      </c>
      <c r="DZ83" s="58">
        <v>61</v>
      </c>
      <c r="EA83" s="58">
        <v>81</v>
      </c>
      <c r="EB83" s="58">
        <v>44</v>
      </c>
      <c r="EC83" s="58">
        <v>93</v>
      </c>
      <c r="ED83" s="58">
        <v>19</v>
      </c>
      <c r="EE83" s="58">
        <v>75</v>
      </c>
      <c r="EF83" s="58">
        <v>57</v>
      </c>
      <c r="EG83" s="58">
        <v>75</v>
      </c>
      <c r="EH83" s="58">
        <v>19</v>
      </c>
      <c r="EI83" s="58">
        <v>104</v>
      </c>
      <c r="EJ83" s="58">
        <v>102</v>
      </c>
      <c r="EK83" s="58">
        <v>72</v>
      </c>
      <c r="EL83" s="58">
        <v>103</v>
      </c>
      <c r="EM83" s="58">
        <v>104</v>
      </c>
      <c r="EN83" s="58" t="s">
        <v>920</v>
      </c>
      <c r="EO83" s="58">
        <v>69</v>
      </c>
      <c r="EP83" s="58">
        <v>91</v>
      </c>
      <c r="EQ83" s="58">
        <v>78</v>
      </c>
    </row>
    <row r="84" spans="1:147" x14ac:dyDescent="0.45">
      <c r="A84" t="s">
        <v>80</v>
      </c>
      <c r="B84" s="59" t="s">
        <v>348</v>
      </c>
      <c r="C84" s="37" t="s">
        <v>29</v>
      </c>
      <c r="D84" s="37" t="s">
        <v>880</v>
      </c>
      <c r="E84" s="104">
        <v>52866.095999999998</v>
      </c>
      <c r="F84" s="104">
        <v>4839000</v>
      </c>
      <c r="G84" s="87">
        <v>45.531935967676603</v>
      </c>
      <c r="H84" s="1" t="s">
        <v>194</v>
      </c>
      <c r="I84" s="58">
        <v>78</v>
      </c>
      <c r="J84" s="87">
        <v>42.148522452498781</v>
      </c>
      <c r="K84" s="87">
        <v>34.063242049635953</v>
      </c>
      <c r="L84" s="87">
        <v>52.760129296105674</v>
      </c>
      <c r="M84" s="87">
        <v>53.155850072465995</v>
      </c>
      <c r="N84" s="58">
        <v>69</v>
      </c>
      <c r="O84" s="58">
        <v>91</v>
      </c>
      <c r="P84" s="58">
        <v>82</v>
      </c>
      <c r="Q84" s="58">
        <v>66</v>
      </c>
      <c r="R84" s="58">
        <v>71.412530048273894</v>
      </c>
      <c r="S84" s="58">
        <v>18.289467751118668</v>
      </c>
      <c r="T84" s="58">
        <v>36.743569558103779</v>
      </c>
      <c r="U84" s="58">
        <v>58.766868458550981</v>
      </c>
      <c r="V84" s="58">
        <v>14.834705885041032</v>
      </c>
      <c r="W84" s="58">
        <v>28.58815180531586</v>
      </c>
      <c r="X84" s="58">
        <v>50.212675110298065</v>
      </c>
      <c r="Y84" s="58">
        <v>52.083992915860009</v>
      </c>
      <c r="Z84" s="58">
        <v>55.983719862158942</v>
      </c>
      <c r="AA84" s="58">
        <v>36.603182530718342</v>
      </c>
      <c r="AB84" s="58">
        <v>82.003243447827288</v>
      </c>
      <c r="AC84" s="58">
        <v>40.861124238852362</v>
      </c>
      <c r="AD84" s="58">
        <v>56</v>
      </c>
      <c r="AE84" s="58">
        <v>87</v>
      </c>
      <c r="AF84" s="58">
        <v>57</v>
      </c>
      <c r="AG84" s="58">
        <v>31</v>
      </c>
      <c r="AH84" s="58">
        <v>124</v>
      </c>
      <c r="AI84" s="58">
        <v>96</v>
      </c>
      <c r="AJ84" s="58">
        <v>70</v>
      </c>
      <c r="AK84" s="58">
        <v>90</v>
      </c>
      <c r="AL84" s="58">
        <v>83</v>
      </c>
      <c r="AM84" s="58">
        <v>50</v>
      </c>
      <c r="AN84" s="58">
        <v>15</v>
      </c>
      <c r="AO84" s="58">
        <v>121</v>
      </c>
      <c r="AP84" s="58">
        <v>68.906043471188198</v>
      </c>
      <c r="AQ84" s="58">
        <v>83.111238091514323</v>
      </c>
      <c r="AR84" s="58">
        <v>3.7055233264662584</v>
      </c>
      <c r="AS84" s="58">
        <v>100</v>
      </c>
      <c r="AT84" s="58">
        <v>72.752375400474634</v>
      </c>
      <c r="AU84" s="58">
        <v>100</v>
      </c>
      <c r="AV84" s="58">
        <v>2.0804244399916691</v>
      </c>
      <c r="AW84" s="58">
        <v>3.2297713157375654</v>
      </c>
      <c r="AX84" s="58">
        <v>65.108017693431833</v>
      </c>
      <c r="AY84" s="58">
        <v>2.7396575553136047</v>
      </c>
      <c r="AZ84" s="58">
        <v>33.553387604951396</v>
      </c>
      <c r="BA84" s="58">
        <v>42.500000000000007</v>
      </c>
      <c r="BB84" s="58" t="s">
        <v>920</v>
      </c>
      <c r="BC84" s="58">
        <v>34.177321069359913</v>
      </c>
      <c r="BD84" s="58">
        <v>29.716126842480715</v>
      </c>
      <c r="BE84" s="58">
        <v>30.346176797923423</v>
      </c>
      <c r="BF84" s="58">
        <v>81.159016347645945</v>
      </c>
      <c r="BG84" s="58">
        <v>93.84615384615384</v>
      </c>
      <c r="BH84" s="58" t="s">
        <v>920</v>
      </c>
      <c r="BI84" s="58" t="s">
        <v>920</v>
      </c>
      <c r="BJ84" s="58">
        <v>3.6045819596826401</v>
      </c>
      <c r="BK84" s="58">
        <v>36.967175786778192</v>
      </c>
      <c r="BL84" s="58">
        <v>3.9323599086622614</v>
      </c>
      <c r="BM84" s="58">
        <v>56.274587649330485</v>
      </c>
      <c r="BN84" s="58" t="s">
        <v>920</v>
      </c>
      <c r="BO84" s="58">
        <v>28.037079037026469</v>
      </c>
      <c r="BP84" s="58">
        <v>1.4527887295906208</v>
      </c>
      <c r="BQ84" s="58">
        <v>47.604285372091148</v>
      </c>
      <c r="BR84" s="58">
        <v>52.821064848504975</v>
      </c>
      <c r="BS84" s="58" t="s">
        <v>920</v>
      </c>
      <c r="BT84" s="58" t="s">
        <v>920</v>
      </c>
      <c r="BU84" s="58">
        <v>50.259320741226276</v>
      </c>
      <c r="BV84" s="58">
        <v>54.999999999718753</v>
      </c>
      <c r="BW84" s="58">
        <v>38.64260153225792</v>
      </c>
      <c r="BX84" s="58">
        <v>75</v>
      </c>
      <c r="BY84" s="58">
        <v>41.518042306097051</v>
      </c>
      <c r="BZ84" s="58">
        <v>26.089716462124418</v>
      </c>
      <c r="CA84" s="58">
        <v>73.162104082353423</v>
      </c>
      <c r="CB84" s="58">
        <v>68.699339041998982</v>
      </c>
      <c r="CC84" s="58" t="s">
        <v>920</v>
      </c>
      <c r="CD84" s="58">
        <v>0.25730776693027463</v>
      </c>
      <c r="CE84" s="58">
        <v>52.269148640013817</v>
      </c>
      <c r="CF84" s="58">
        <v>45.1916916269249</v>
      </c>
      <c r="CG84" s="58">
        <v>48.694582089004385</v>
      </c>
      <c r="CH84" s="58">
        <v>75.268096514745309</v>
      </c>
      <c r="CI84" s="58">
        <v>89.843750000000014</v>
      </c>
      <c r="CJ84" s="58" t="s">
        <v>920</v>
      </c>
      <c r="CK84" s="58">
        <v>79.792524209645805</v>
      </c>
      <c r="CL84" s="58">
        <v>95.555555555555557</v>
      </c>
      <c r="CM84" s="58" t="s">
        <v>920</v>
      </c>
      <c r="CN84" s="58">
        <v>10</v>
      </c>
      <c r="CO84" s="58">
        <v>28.740581270182986</v>
      </c>
      <c r="CP84" s="58">
        <v>72.130027337192644</v>
      </c>
      <c r="CQ84" s="58">
        <v>60</v>
      </c>
      <c r="CR84" s="58">
        <v>41</v>
      </c>
      <c r="CS84" s="58">
        <v>120</v>
      </c>
      <c r="CT84" s="58">
        <v>1</v>
      </c>
      <c r="CU84" s="58">
        <v>56</v>
      </c>
      <c r="CV84" s="58">
        <v>1</v>
      </c>
      <c r="CW84" s="58">
        <v>101</v>
      </c>
      <c r="CX84" s="58">
        <v>69</v>
      </c>
      <c r="CY84" s="58">
        <v>63</v>
      </c>
      <c r="CZ84" s="58">
        <v>80</v>
      </c>
      <c r="DA84" s="58">
        <v>98</v>
      </c>
      <c r="DB84" s="58">
        <v>56</v>
      </c>
      <c r="DC84" s="58" t="s">
        <v>920</v>
      </c>
      <c r="DD84" s="58">
        <v>23</v>
      </c>
      <c r="DE84" s="58">
        <v>39</v>
      </c>
      <c r="DF84" s="58">
        <v>96</v>
      </c>
      <c r="DG84" s="58">
        <v>24</v>
      </c>
      <c r="DH84" s="58">
        <v>39</v>
      </c>
      <c r="DI84" s="58" t="s">
        <v>920</v>
      </c>
      <c r="DJ84" s="58" t="s">
        <v>920</v>
      </c>
      <c r="DK84" s="58">
        <v>73</v>
      </c>
      <c r="DL84" s="58">
        <v>82</v>
      </c>
      <c r="DM84" s="58">
        <v>68</v>
      </c>
      <c r="DN84" s="58">
        <v>85</v>
      </c>
      <c r="DO84" s="58" t="s">
        <v>920</v>
      </c>
      <c r="DP84" s="58">
        <v>82</v>
      </c>
      <c r="DQ84" s="58">
        <v>98</v>
      </c>
      <c r="DR84" s="58">
        <v>92</v>
      </c>
      <c r="DS84" s="58">
        <v>104</v>
      </c>
      <c r="DT84" s="58" t="s">
        <v>920</v>
      </c>
      <c r="DU84" s="58" t="s">
        <v>920</v>
      </c>
      <c r="DV84" s="58">
        <v>53</v>
      </c>
      <c r="DW84" s="58">
        <v>86</v>
      </c>
      <c r="DX84" s="58">
        <v>76</v>
      </c>
      <c r="DY84" s="58">
        <v>72</v>
      </c>
      <c r="DZ84" s="58">
        <v>99</v>
      </c>
      <c r="EA84" s="58">
        <v>107</v>
      </c>
      <c r="EB84" s="58">
        <v>63</v>
      </c>
      <c r="EC84" s="58">
        <v>27</v>
      </c>
      <c r="ED84" s="58" t="s">
        <v>920</v>
      </c>
      <c r="EE84" s="58">
        <v>68</v>
      </c>
      <c r="EF84" s="58">
        <v>69</v>
      </c>
      <c r="EG84" s="58">
        <v>55</v>
      </c>
      <c r="EH84" s="58">
        <v>14</v>
      </c>
      <c r="EI84" s="58">
        <v>27</v>
      </c>
      <c r="EJ84" s="58">
        <v>15</v>
      </c>
      <c r="EK84" s="58" t="s">
        <v>920</v>
      </c>
      <c r="EL84" s="58">
        <v>30</v>
      </c>
      <c r="EM84" s="58">
        <v>46</v>
      </c>
      <c r="EN84" s="58" t="s">
        <v>920</v>
      </c>
      <c r="EO84" s="58">
        <v>125</v>
      </c>
      <c r="EP84" s="58">
        <v>118</v>
      </c>
      <c r="EQ84" s="58">
        <v>50</v>
      </c>
    </row>
    <row r="85" spans="1:147" x14ac:dyDescent="0.45">
      <c r="A85" t="s">
        <v>97</v>
      </c>
      <c r="B85" s="59" t="s">
        <v>367</v>
      </c>
      <c r="C85" s="37" t="s">
        <v>10</v>
      </c>
      <c r="D85" s="37" t="s">
        <v>881</v>
      </c>
      <c r="E85" s="104">
        <v>23327.052</v>
      </c>
      <c r="F85" s="104">
        <v>2812000</v>
      </c>
      <c r="G85" s="87">
        <v>45.41401508691137</v>
      </c>
      <c r="H85" s="1" t="s">
        <v>219</v>
      </c>
      <c r="I85" s="58">
        <v>79</v>
      </c>
      <c r="J85" s="87">
        <v>31.780648818827462</v>
      </c>
      <c r="K85" s="87">
        <v>42.452787511830145</v>
      </c>
      <c r="L85" s="87">
        <v>55.007923039295086</v>
      </c>
      <c r="M85" s="87">
        <v>52.414700977692767</v>
      </c>
      <c r="N85" s="58">
        <v>97</v>
      </c>
      <c r="O85" s="58">
        <v>59</v>
      </c>
      <c r="P85" s="58">
        <v>77</v>
      </c>
      <c r="Q85" s="58">
        <v>73</v>
      </c>
      <c r="R85" s="58">
        <v>64.184717195827844</v>
      </c>
      <c r="S85" s="58">
        <v>17.150258654862711</v>
      </c>
      <c r="T85" s="58">
        <v>14.006970605791834</v>
      </c>
      <c r="U85" s="58">
        <v>46.075179576959371</v>
      </c>
      <c r="V85" s="58">
        <v>29.882509921809771</v>
      </c>
      <c r="W85" s="58">
        <v>51.400673036721287</v>
      </c>
      <c r="X85" s="58">
        <v>47.612338272034791</v>
      </c>
      <c r="Y85" s="58">
        <v>70.649574741202784</v>
      </c>
      <c r="Z85" s="58">
        <v>46.761856104647677</v>
      </c>
      <c r="AA85" s="58">
        <v>26.981176681571753</v>
      </c>
      <c r="AB85" s="58">
        <v>68.884922902886771</v>
      </c>
      <c r="AC85" s="58">
        <v>61.378003348619757</v>
      </c>
      <c r="AD85" s="58">
        <v>77</v>
      </c>
      <c r="AE85" s="58">
        <v>93</v>
      </c>
      <c r="AF85" s="58">
        <v>120</v>
      </c>
      <c r="AG85" s="58">
        <v>86</v>
      </c>
      <c r="AH85" s="58">
        <v>67</v>
      </c>
      <c r="AI85" s="58">
        <v>33</v>
      </c>
      <c r="AJ85" s="58">
        <v>80</v>
      </c>
      <c r="AK85" s="58">
        <v>41</v>
      </c>
      <c r="AL85" s="58">
        <v>105</v>
      </c>
      <c r="AM85" s="58">
        <v>91</v>
      </c>
      <c r="AN85" s="58">
        <v>53</v>
      </c>
      <c r="AO85" s="58">
        <v>73</v>
      </c>
      <c r="AP85" s="58">
        <v>54.294273908848602</v>
      </c>
      <c r="AQ85" s="58">
        <v>68.325618309519726</v>
      </c>
      <c r="AR85" s="58">
        <v>30.380720246659994</v>
      </c>
      <c r="AS85" s="58">
        <v>97.894736842105232</v>
      </c>
      <c r="AT85" s="58">
        <v>61.943331065099173</v>
      </c>
      <c r="AU85" s="58">
        <v>72.269622802734304</v>
      </c>
      <c r="AV85" s="58">
        <v>8.2002365610903478</v>
      </c>
      <c r="AW85" s="58">
        <v>5.8248967982061322</v>
      </c>
      <c r="AX85" s="58">
        <v>53.152696250216266</v>
      </c>
      <c r="AY85" s="58">
        <v>1.4232050099381015</v>
      </c>
      <c r="AZ85" s="58" t="s">
        <v>920</v>
      </c>
      <c r="BA85" s="58">
        <v>21.750000000000004</v>
      </c>
      <c r="BB85" s="58" t="s">
        <v>920</v>
      </c>
      <c r="BC85" s="58">
        <v>6.2639412115836626</v>
      </c>
      <c r="BD85" s="58">
        <v>3.4386128979400929</v>
      </c>
      <c r="BE85" s="58">
        <v>28.487924353837514</v>
      </c>
      <c r="BF85" s="58">
        <v>55.451104132982962</v>
      </c>
      <c r="BG85" s="58">
        <v>96.92307692307692</v>
      </c>
      <c r="BH85" s="58" t="s">
        <v>920</v>
      </c>
      <c r="BI85" s="58">
        <v>56.268159269582455</v>
      </c>
      <c r="BJ85" s="58" t="s">
        <v>920</v>
      </c>
      <c r="BK85" s="58">
        <v>29.675923043624596</v>
      </c>
      <c r="BL85" s="58">
        <v>3.7034474522222665</v>
      </c>
      <c r="BM85" s="58">
        <v>77.672309043442695</v>
      </c>
      <c r="BN85" s="58">
        <v>43.986671898744007</v>
      </c>
      <c r="BO85" s="58">
        <v>32.543038167977144</v>
      </c>
      <c r="BP85" s="58" t="s">
        <v>920</v>
      </c>
      <c r="BQ85" s="58">
        <v>57.845446433854065</v>
      </c>
      <c r="BR85" s="58">
        <v>83.787630836501137</v>
      </c>
      <c r="BS85" s="58">
        <v>34.984163486582517</v>
      </c>
      <c r="BT85" s="58">
        <v>13.832112331201415</v>
      </c>
      <c r="BU85" s="58">
        <v>46.531456437021042</v>
      </c>
      <c r="BV85" s="58">
        <v>83.124999999894527</v>
      </c>
      <c r="BW85" s="58">
        <v>48.539571561922926</v>
      </c>
      <c r="BX85" s="58">
        <v>100</v>
      </c>
      <c r="BY85" s="58">
        <v>75.051845707175431</v>
      </c>
      <c r="BZ85" s="58">
        <v>71.011426153195089</v>
      </c>
      <c r="CA85" s="58">
        <v>29.342154897236426</v>
      </c>
      <c r="CB85" s="58">
        <v>61.585806717367234</v>
      </c>
      <c r="CC85" s="58">
        <v>25.108036650791988</v>
      </c>
      <c r="CD85" s="58" t="s">
        <v>920</v>
      </c>
      <c r="CE85" s="58">
        <v>37.804823862247524</v>
      </c>
      <c r="CF85" s="58" t="s">
        <v>920</v>
      </c>
      <c r="CG85" s="58">
        <v>16.157529500895979</v>
      </c>
      <c r="CH85" s="58">
        <v>48.056300268096507</v>
      </c>
      <c r="CI85" s="58">
        <v>77.734375</v>
      </c>
      <c r="CJ85" s="58">
        <v>85.714285714285722</v>
      </c>
      <c r="CK85" s="58">
        <v>76.013901166841848</v>
      </c>
      <c r="CL85" s="58">
        <v>64.444444444444443</v>
      </c>
      <c r="CM85" s="58">
        <v>12.457061517418101</v>
      </c>
      <c r="CN85" s="58">
        <v>87.272727272727266</v>
      </c>
      <c r="CO85" s="58">
        <v>89.128094725511303</v>
      </c>
      <c r="CP85" s="58">
        <v>48.86381531320022</v>
      </c>
      <c r="CQ85" s="58">
        <v>89</v>
      </c>
      <c r="CR85" s="58">
        <v>58</v>
      </c>
      <c r="CS85" s="58">
        <v>67</v>
      </c>
      <c r="CT85" s="58">
        <v>54</v>
      </c>
      <c r="CU85" s="58">
        <v>108</v>
      </c>
      <c r="CV85" s="58">
        <v>53</v>
      </c>
      <c r="CW85" s="58">
        <v>60</v>
      </c>
      <c r="CX85" s="58">
        <v>55</v>
      </c>
      <c r="CY85" s="58">
        <v>94</v>
      </c>
      <c r="CZ85" s="58">
        <v>91</v>
      </c>
      <c r="DA85" s="58" t="s">
        <v>920</v>
      </c>
      <c r="DB85" s="58">
        <v>114</v>
      </c>
      <c r="DC85" s="58" t="s">
        <v>920</v>
      </c>
      <c r="DD85" s="58">
        <v>92</v>
      </c>
      <c r="DE85" s="58">
        <v>104</v>
      </c>
      <c r="DF85" s="58">
        <v>100</v>
      </c>
      <c r="DG85" s="58">
        <v>82</v>
      </c>
      <c r="DH85" s="58">
        <v>28</v>
      </c>
      <c r="DI85" s="58" t="s">
        <v>920</v>
      </c>
      <c r="DJ85" s="58">
        <v>59</v>
      </c>
      <c r="DK85" s="58" t="s">
        <v>920</v>
      </c>
      <c r="DL85" s="58">
        <v>110</v>
      </c>
      <c r="DM85" s="58">
        <v>70</v>
      </c>
      <c r="DN85" s="58">
        <v>46</v>
      </c>
      <c r="DO85" s="58">
        <v>39</v>
      </c>
      <c r="DP85" s="58">
        <v>74</v>
      </c>
      <c r="DQ85" s="58" t="s">
        <v>920</v>
      </c>
      <c r="DR85" s="58">
        <v>69</v>
      </c>
      <c r="DS85" s="58">
        <v>72</v>
      </c>
      <c r="DT85" s="58">
        <v>36</v>
      </c>
      <c r="DU85" s="58">
        <v>84</v>
      </c>
      <c r="DV85" s="58">
        <v>60</v>
      </c>
      <c r="DW85" s="58">
        <v>34</v>
      </c>
      <c r="DX85" s="58">
        <v>53</v>
      </c>
      <c r="DY85" s="58">
        <v>1</v>
      </c>
      <c r="DZ85" s="58">
        <v>42</v>
      </c>
      <c r="EA85" s="58">
        <v>49</v>
      </c>
      <c r="EB85" s="58">
        <v>114</v>
      </c>
      <c r="EC85" s="58">
        <v>73</v>
      </c>
      <c r="ED85" s="58">
        <v>70</v>
      </c>
      <c r="EE85" s="58" t="s">
        <v>920</v>
      </c>
      <c r="EF85" s="58">
        <v>109</v>
      </c>
      <c r="EG85" s="58" t="s">
        <v>920</v>
      </c>
      <c r="EH85" s="58">
        <v>56</v>
      </c>
      <c r="EI85" s="58">
        <v>85</v>
      </c>
      <c r="EJ85" s="58">
        <v>53</v>
      </c>
      <c r="EK85" s="58">
        <v>20</v>
      </c>
      <c r="EL85" s="58">
        <v>38</v>
      </c>
      <c r="EM85" s="58">
        <v>92</v>
      </c>
      <c r="EN85" s="58">
        <v>73</v>
      </c>
      <c r="EO85" s="58">
        <v>37</v>
      </c>
      <c r="EP85" s="58">
        <v>16</v>
      </c>
      <c r="EQ85" s="58">
        <v>82</v>
      </c>
    </row>
    <row r="86" spans="1:147" x14ac:dyDescent="0.45">
      <c r="A86" t="s">
        <v>92</v>
      </c>
      <c r="B86" s="59" t="s">
        <v>368</v>
      </c>
      <c r="C86" s="37" t="s">
        <v>37</v>
      </c>
      <c r="D86" s="37" t="s">
        <v>881</v>
      </c>
      <c r="E86" s="104">
        <v>18980.187000000002</v>
      </c>
      <c r="F86" s="104">
        <v>33846000</v>
      </c>
      <c r="G86" s="87">
        <v>45.243636109877954</v>
      </c>
      <c r="H86" s="1" t="s">
        <v>212</v>
      </c>
      <c r="I86" s="58">
        <v>80</v>
      </c>
      <c r="J86" s="87">
        <v>34.123353798098343</v>
      </c>
      <c r="K86" s="87">
        <v>43.360360234258792</v>
      </c>
      <c r="L86" s="87">
        <v>51.642834920672925</v>
      </c>
      <c r="M86" s="87">
        <v>51.847995486481757</v>
      </c>
      <c r="N86" s="58">
        <v>91</v>
      </c>
      <c r="O86" s="58">
        <v>56</v>
      </c>
      <c r="P86" s="58">
        <v>86</v>
      </c>
      <c r="Q86" s="58">
        <v>77</v>
      </c>
      <c r="R86" s="58">
        <v>58.898764650616336</v>
      </c>
      <c r="S86" s="58">
        <v>20.956711403817355</v>
      </c>
      <c r="T86" s="58">
        <v>22.514585339861338</v>
      </c>
      <c r="U86" s="58">
        <v>59.658886767968532</v>
      </c>
      <c r="V86" s="58">
        <v>37.243116239142623</v>
      </c>
      <c r="W86" s="58">
        <v>33.179077695665242</v>
      </c>
      <c r="X86" s="58">
        <v>46.480246856572947</v>
      </c>
      <c r="Y86" s="58">
        <v>55.437888262544632</v>
      </c>
      <c r="Z86" s="58">
        <v>53.010369642901196</v>
      </c>
      <c r="AA86" s="58">
        <v>25.544963573465676</v>
      </c>
      <c r="AB86" s="58">
        <v>60.515398331684672</v>
      </c>
      <c r="AC86" s="58">
        <v>69.483624554294934</v>
      </c>
      <c r="AD86" s="58">
        <v>87</v>
      </c>
      <c r="AE86" s="58">
        <v>77</v>
      </c>
      <c r="AF86" s="58">
        <v>103</v>
      </c>
      <c r="AG86" s="58">
        <v>28</v>
      </c>
      <c r="AH86" s="58">
        <v>43</v>
      </c>
      <c r="AI86" s="58">
        <v>86</v>
      </c>
      <c r="AJ86" s="58">
        <v>85</v>
      </c>
      <c r="AK86" s="58">
        <v>78</v>
      </c>
      <c r="AL86" s="58">
        <v>89</v>
      </c>
      <c r="AM86" s="58">
        <v>97</v>
      </c>
      <c r="AN86" s="58">
        <v>80</v>
      </c>
      <c r="AO86" s="58">
        <v>50</v>
      </c>
      <c r="AP86" s="58">
        <v>60.392137433028601</v>
      </c>
      <c r="AQ86" s="58">
        <v>54.5428347626953</v>
      </c>
      <c r="AR86" s="58">
        <v>47.32898836997181</v>
      </c>
      <c r="AS86" s="58">
        <v>69.842105263157876</v>
      </c>
      <c r="AT86" s="58">
        <v>68.582073374893326</v>
      </c>
      <c r="AU86" s="58">
        <v>52.704448699951101</v>
      </c>
      <c r="AV86" s="58">
        <v>7.1675908469607492</v>
      </c>
      <c r="AW86" s="58">
        <v>3.461691901891645</v>
      </c>
      <c r="AX86" s="58">
        <v>59.014540936142076</v>
      </c>
      <c r="AY86" s="58">
        <v>14.183021930274952</v>
      </c>
      <c r="AZ86" s="58">
        <v>47.937206886674922</v>
      </c>
      <c r="BA86" s="58">
        <v>25.249999999999993</v>
      </c>
      <c r="BB86" s="58">
        <v>0</v>
      </c>
      <c r="BC86" s="58">
        <v>16.871134472770439</v>
      </c>
      <c r="BD86" s="58">
        <v>35.676137695030306</v>
      </c>
      <c r="BE86" s="58">
        <v>39.134554892447447</v>
      </c>
      <c r="BF86" s="58">
        <v>73.577943802305143</v>
      </c>
      <c r="BG86" s="58">
        <v>90.246910682091226</v>
      </c>
      <c r="BH86" s="58" t="s">
        <v>920</v>
      </c>
      <c r="BI86" s="58">
        <v>81.730922252181387</v>
      </c>
      <c r="BJ86" s="58">
        <v>1.3366619105505577</v>
      </c>
      <c r="BK86" s="58">
        <v>48.580862125440753</v>
      </c>
      <c r="BL86" s="58">
        <v>17.324018668397805</v>
      </c>
      <c r="BM86" s="58">
        <v>80.474248384884689</v>
      </c>
      <c r="BN86" s="58">
        <v>31.110347348422973</v>
      </c>
      <c r="BO86" s="58">
        <v>18.666686693151696</v>
      </c>
      <c r="BP86" s="58">
        <v>2.4650283562015876</v>
      </c>
      <c r="BQ86" s="58">
        <v>54.013210542995047</v>
      </c>
      <c r="BR86" s="58">
        <v>80.287653071538273</v>
      </c>
      <c r="BS86" s="58">
        <v>33.915939713232454</v>
      </c>
      <c r="BT86" s="58">
        <v>17.704184098526014</v>
      </c>
      <c r="BU86" s="58">
        <v>49.540704896110874</v>
      </c>
      <c r="BV86" s="58">
        <v>73.749999999835936</v>
      </c>
      <c r="BW86" s="58">
        <v>23.65195085062124</v>
      </c>
      <c r="BX86" s="58">
        <v>75</v>
      </c>
      <c r="BY86" s="58">
        <v>55.246785566155118</v>
      </c>
      <c r="BZ86" s="58">
        <v>73.910283537875571</v>
      </c>
      <c r="CA86" s="58">
        <v>36.699282295136264</v>
      </c>
      <c r="CB86" s="58">
        <v>60.168140113638991</v>
      </c>
      <c r="CC86" s="58">
        <v>41.263772624953951</v>
      </c>
      <c r="CD86" s="58">
        <v>0.24728261980730754</v>
      </c>
      <c r="CE86" s="58">
        <v>60.816687363467146</v>
      </c>
      <c r="CF86" s="58">
        <v>39.710955475528429</v>
      </c>
      <c r="CG86" s="58">
        <v>1.4049288350598252</v>
      </c>
      <c r="CH86" s="58">
        <v>60.031277926720293</v>
      </c>
      <c r="CI86" s="58">
        <v>60.677083333333329</v>
      </c>
      <c r="CJ86" s="58">
        <v>58.41836734693878</v>
      </c>
      <c r="CK86" s="58">
        <v>63.257300123062024</v>
      </c>
      <c r="CL86" s="58">
        <v>80</v>
      </c>
      <c r="CM86" s="58">
        <v>26.894962684239044</v>
      </c>
      <c r="CN86" s="58">
        <v>92.72727272727272</v>
      </c>
      <c r="CO86" s="58">
        <v>85.468245425188371</v>
      </c>
      <c r="CP86" s="58">
        <v>65.688034760959169</v>
      </c>
      <c r="CQ86" s="58">
        <v>77</v>
      </c>
      <c r="CR86" s="58">
        <v>78</v>
      </c>
      <c r="CS86" s="58">
        <v>26</v>
      </c>
      <c r="CT86" s="58">
        <v>104</v>
      </c>
      <c r="CU86" s="58">
        <v>79</v>
      </c>
      <c r="CV86" s="58">
        <v>61</v>
      </c>
      <c r="CW86" s="58">
        <v>63</v>
      </c>
      <c r="CX86" s="58">
        <v>67</v>
      </c>
      <c r="CY86" s="58">
        <v>83</v>
      </c>
      <c r="CZ86" s="58">
        <v>41</v>
      </c>
      <c r="DA86" s="58">
        <v>83</v>
      </c>
      <c r="DB86" s="58">
        <v>105</v>
      </c>
      <c r="DC86" s="58">
        <v>56</v>
      </c>
      <c r="DD86" s="58">
        <v>66</v>
      </c>
      <c r="DE86" s="58">
        <v>26</v>
      </c>
      <c r="DF86" s="58">
        <v>86</v>
      </c>
      <c r="DG86" s="58">
        <v>53</v>
      </c>
      <c r="DH86" s="58">
        <v>54</v>
      </c>
      <c r="DI86" s="58" t="s">
        <v>920</v>
      </c>
      <c r="DJ86" s="58">
        <v>24</v>
      </c>
      <c r="DK86" s="58">
        <v>85</v>
      </c>
      <c r="DL86" s="58">
        <v>36</v>
      </c>
      <c r="DM86" s="58">
        <v>43</v>
      </c>
      <c r="DN86" s="58">
        <v>40</v>
      </c>
      <c r="DO86" s="58">
        <v>58</v>
      </c>
      <c r="DP86" s="58">
        <v>96</v>
      </c>
      <c r="DQ86" s="58">
        <v>88</v>
      </c>
      <c r="DR86" s="58">
        <v>76</v>
      </c>
      <c r="DS86" s="58">
        <v>76</v>
      </c>
      <c r="DT86" s="58">
        <v>38</v>
      </c>
      <c r="DU86" s="58">
        <v>77</v>
      </c>
      <c r="DV86" s="58">
        <v>57</v>
      </c>
      <c r="DW86" s="58">
        <v>64</v>
      </c>
      <c r="DX86" s="58">
        <v>97</v>
      </c>
      <c r="DY86" s="58">
        <v>72</v>
      </c>
      <c r="DZ86" s="58">
        <v>80</v>
      </c>
      <c r="EA86" s="58">
        <v>42</v>
      </c>
      <c r="EB86" s="58">
        <v>109</v>
      </c>
      <c r="EC86" s="58">
        <v>77</v>
      </c>
      <c r="ED86" s="58">
        <v>60</v>
      </c>
      <c r="EE86" s="58">
        <v>69</v>
      </c>
      <c r="EF86" s="58">
        <v>46</v>
      </c>
      <c r="EG86" s="58">
        <v>61</v>
      </c>
      <c r="EH86" s="58">
        <v>118</v>
      </c>
      <c r="EI86" s="58">
        <v>63</v>
      </c>
      <c r="EJ86" s="58">
        <v>84</v>
      </c>
      <c r="EK86" s="58">
        <v>84</v>
      </c>
      <c r="EL86" s="58">
        <v>76</v>
      </c>
      <c r="EM86" s="58">
        <v>72</v>
      </c>
      <c r="EN86" s="58">
        <v>60</v>
      </c>
      <c r="EO86" s="58">
        <v>25</v>
      </c>
      <c r="EP86" s="58">
        <v>31</v>
      </c>
      <c r="EQ86" s="58">
        <v>57</v>
      </c>
    </row>
    <row r="87" spans="1:147" x14ac:dyDescent="0.45">
      <c r="A87" t="s">
        <v>106</v>
      </c>
      <c r="B87" s="59" t="s">
        <v>376</v>
      </c>
      <c r="C87" s="37" t="s">
        <v>31</v>
      </c>
      <c r="D87" s="37" t="s">
        <v>881</v>
      </c>
      <c r="E87" s="104">
        <v>20378.300999999999</v>
      </c>
      <c r="F87" s="104">
        <v>3432000</v>
      </c>
      <c r="G87" s="87">
        <v>45.052227518646674</v>
      </c>
      <c r="H87" s="1" t="s">
        <v>228</v>
      </c>
      <c r="I87" s="58">
        <v>81</v>
      </c>
      <c r="J87" s="87">
        <v>36.374472798339646</v>
      </c>
      <c r="K87" s="87">
        <v>35.764936430959438</v>
      </c>
      <c r="L87" s="87">
        <v>64.124718568569349</v>
      </c>
      <c r="M87" s="87">
        <v>43.944782276718293</v>
      </c>
      <c r="N87" s="58">
        <v>85</v>
      </c>
      <c r="O87" s="58">
        <v>85</v>
      </c>
      <c r="P87" s="58">
        <v>57</v>
      </c>
      <c r="Q87" s="58">
        <v>102</v>
      </c>
      <c r="R87" s="58">
        <v>67.261162462272779</v>
      </c>
      <c r="S87" s="58">
        <v>16.127161853464184</v>
      </c>
      <c r="T87" s="58">
        <v>25.735094079281975</v>
      </c>
      <c r="U87" s="58">
        <v>52.733871761404842</v>
      </c>
      <c r="V87" s="58">
        <v>18.911795014823738</v>
      </c>
      <c r="W87" s="58">
        <v>35.649142516649725</v>
      </c>
      <c r="X87" s="58">
        <v>63.943792771611754</v>
      </c>
      <c r="Y87" s="58">
        <v>49.567872180415499</v>
      </c>
      <c r="Z87" s="58">
        <v>78.862490753680817</v>
      </c>
      <c r="AA87" s="58">
        <v>17.738736560759101</v>
      </c>
      <c r="AB87" s="58">
        <v>58.888263087662814</v>
      </c>
      <c r="AC87" s="58">
        <v>55.207347181732978</v>
      </c>
      <c r="AD87" s="58">
        <v>68</v>
      </c>
      <c r="AE87" s="58">
        <v>95</v>
      </c>
      <c r="AF87" s="58">
        <v>96</v>
      </c>
      <c r="AG87" s="58">
        <v>59</v>
      </c>
      <c r="AH87" s="58">
        <v>110</v>
      </c>
      <c r="AI87" s="58">
        <v>77</v>
      </c>
      <c r="AJ87" s="58">
        <v>57</v>
      </c>
      <c r="AK87" s="58">
        <v>99</v>
      </c>
      <c r="AL87" s="58">
        <v>27</v>
      </c>
      <c r="AM87" s="58">
        <v>117</v>
      </c>
      <c r="AN87" s="58">
        <v>85</v>
      </c>
      <c r="AO87" s="58">
        <v>94</v>
      </c>
      <c r="AP87" s="58">
        <v>65.996132225225494</v>
      </c>
      <c r="AQ87" s="58">
        <v>37.8436639332444</v>
      </c>
      <c r="AR87" s="58">
        <v>32.874009431761799</v>
      </c>
      <c r="AS87" s="58">
        <v>100</v>
      </c>
      <c r="AT87" s="58">
        <v>66.853169183405001</v>
      </c>
      <c r="AU87" s="58">
        <v>100</v>
      </c>
      <c r="AV87" s="58">
        <v>6.558810369499227</v>
      </c>
      <c r="AW87" s="58">
        <v>2.002716608139675</v>
      </c>
      <c r="AX87" s="58">
        <v>55.323264260834868</v>
      </c>
      <c r="AY87" s="58">
        <v>0.62385617538296823</v>
      </c>
      <c r="AZ87" s="58">
        <v>37.259685896396192</v>
      </c>
      <c r="BA87" s="58">
        <v>32.999999999999993</v>
      </c>
      <c r="BB87" s="58" t="s">
        <v>920</v>
      </c>
      <c r="BC87" s="58">
        <v>6.9455963414497379</v>
      </c>
      <c r="BD87" s="58">
        <v>9.7045495487588589</v>
      </c>
      <c r="BE87" s="58">
        <v>28.550529003059772</v>
      </c>
      <c r="BF87" s="58">
        <v>74.76673098478642</v>
      </c>
      <c r="BG87" s="58">
        <v>97.913677509014306</v>
      </c>
      <c r="BH87" s="58" t="s">
        <v>920</v>
      </c>
      <c r="BI87" s="58">
        <v>30.919069336012981</v>
      </c>
      <c r="BJ87" s="58">
        <v>11.331516976329867</v>
      </c>
      <c r="BK87" s="58">
        <v>33.143267606803114</v>
      </c>
      <c r="BL87" s="58">
        <v>0.25332614014899352</v>
      </c>
      <c r="BM87" s="58">
        <v>78.608293932941137</v>
      </c>
      <c r="BN87" s="58">
        <v>24.693167768834464</v>
      </c>
      <c r="BO87" s="58">
        <v>38.062337441266074</v>
      </c>
      <c r="BP87" s="58">
        <v>1.2327709235572304</v>
      </c>
      <c r="BQ87" s="58">
        <v>63.193453772291285</v>
      </c>
      <c r="BR87" s="58">
        <v>47.574755563266507</v>
      </c>
      <c r="BS87" s="58">
        <v>83.402330390176488</v>
      </c>
      <c r="BT87" s="58">
        <v>61.604631360712759</v>
      </c>
      <c r="BU87" s="58">
        <v>37.835693172562848</v>
      </c>
      <c r="BV87" s="58">
        <v>53.437499999771475</v>
      </c>
      <c r="BW87" s="58">
        <v>29.990058231609616</v>
      </c>
      <c r="BX87" s="58">
        <v>75</v>
      </c>
      <c r="BY87" s="58">
        <v>51.576109498133562</v>
      </c>
      <c r="BZ87" s="58">
        <v>76.809140922556068</v>
      </c>
      <c r="CA87" s="58">
        <v>94.01227538388622</v>
      </c>
      <c r="CB87" s="58">
        <v>62.281375219709304</v>
      </c>
      <c r="CC87" s="58">
        <v>82.347171488571661</v>
      </c>
      <c r="CD87" s="58">
        <v>0</v>
      </c>
      <c r="CE87" s="58">
        <v>39.361314602047528</v>
      </c>
      <c r="CF87" s="58">
        <v>28.599248193866256</v>
      </c>
      <c r="CG87" s="58">
        <v>2.994383447122611</v>
      </c>
      <c r="CH87" s="58">
        <v>57.484361036639861</v>
      </c>
      <c r="CI87" s="58">
        <v>50.130208333333336</v>
      </c>
      <c r="CJ87" s="58">
        <v>80.612244897959187</v>
      </c>
      <c r="CK87" s="58">
        <v>57.488194888071341</v>
      </c>
      <c r="CL87" s="58">
        <v>66.666666666666657</v>
      </c>
      <c r="CM87" s="58">
        <v>28.017315919302689</v>
      </c>
      <c r="CN87" s="58">
        <v>86.36363636363636</v>
      </c>
      <c r="CO87" s="58">
        <v>53.821313240043054</v>
      </c>
      <c r="CP87" s="58">
        <v>38.587579741232936</v>
      </c>
      <c r="CQ87" s="58">
        <v>65</v>
      </c>
      <c r="CR87" s="58">
        <v>101</v>
      </c>
      <c r="CS87" s="58">
        <v>59</v>
      </c>
      <c r="CT87" s="58">
        <v>1</v>
      </c>
      <c r="CU87" s="58">
        <v>91</v>
      </c>
      <c r="CV87" s="58">
        <v>1</v>
      </c>
      <c r="CW87" s="58">
        <v>65</v>
      </c>
      <c r="CX87" s="58">
        <v>81</v>
      </c>
      <c r="CY87" s="58">
        <v>91</v>
      </c>
      <c r="CZ87" s="58">
        <v>102</v>
      </c>
      <c r="DA87" s="58">
        <v>95</v>
      </c>
      <c r="DB87" s="58">
        <v>88</v>
      </c>
      <c r="DC87" s="58" t="s">
        <v>920</v>
      </c>
      <c r="DD87" s="58">
        <v>89</v>
      </c>
      <c r="DE87" s="58">
        <v>78</v>
      </c>
      <c r="DF87" s="58">
        <v>99</v>
      </c>
      <c r="DG87" s="58">
        <v>50</v>
      </c>
      <c r="DH87" s="58">
        <v>23</v>
      </c>
      <c r="DI87" s="58" t="s">
        <v>920</v>
      </c>
      <c r="DJ87" s="58">
        <v>96</v>
      </c>
      <c r="DK87" s="58">
        <v>44</v>
      </c>
      <c r="DL87" s="58">
        <v>102</v>
      </c>
      <c r="DM87" s="58">
        <v>115</v>
      </c>
      <c r="DN87" s="58">
        <v>41</v>
      </c>
      <c r="DO87" s="58">
        <v>67</v>
      </c>
      <c r="DP87" s="58">
        <v>61</v>
      </c>
      <c r="DQ87" s="58">
        <v>99</v>
      </c>
      <c r="DR87" s="58">
        <v>62</v>
      </c>
      <c r="DS87" s="58">
        <v>106</v>
      </c>
      <c r="DT87" s="58">
        <v>4</v>
      </c>
      <c r="DU87" s="58">
        <v>31</v>
      </c>
      <c r="DV87" s="58">
        <v>81</v>
      </c>
      <c r="DW87" s="58">
        <v>92</v>
      </c>
      <c r="DX87" s="58">
        <v>88</v>
      </c>
      <c r="DY87" s="58">
        <v>72</v>
      </c>
      <c r="DZ87" s="58">
        <v>85</v>
      </c>
      <c r="EA87" s="58">
        <v>37</v>
      </c>
      <c r="EB87" s="58">
        <v>22</v>
      </c>
      <c r="EC87" s="58">
        <v>70</v>
      </c>
      <c r="ED87" s="58">
        <v>8</v>
      </c>
      <c r="EE87" s="58">
        <v>81</v>
      </c>
      <c r="EF87" s="58">
        <v>103</v>
      </c>
      <c r="EG87" s="58">
        <v>80</v>
      </c>
      <c r="EH87" s="58">
        <v>107</v>
      </c>
      <c r="EI87" s="58">
        <v>75</v>
      </c>
      <c r="EJ87" s="58">
        <v>107</v>
      </c>
      <c r="EK87" s="58">
        <v>32</v>
      </c>
      <c r="EL87" s="58">
        <v>87</v>
      </c>
      <c r="EM87" s="58">
        <v>89</v>
      </c>
      <c r="EN87" s="58">
        <v>54</v>
      </c>
      <c r="EO87" s="58">
        <v>40</v>
      </c>
      <c r="EP87" s="58">
        <v>107</v>
      </c>
      <c r="EQ87" s="58">
        <v>99</v>
      </c>
    </row>
    <row r="88" spans="1:147" x14ac:dyDescent="0.45">
      <c r="A88" t="s">
        <v>110</v>
      </c>
      <c r="B88" s="59" t="s">
        <v>379</v>
      </c>
      <c r="C88" s="37" t="s">
        <v>31</v>
      </c>
      <c r="D88" s="37" t="s">
        <v>882</v>
      </c>
      <c r="E88" s="104">
        <v>10257.554</v>
      </c>
      <c r="F88" s="104">
        <v>171467000</v>
      </c>
      <c r="G88" s="87">
        <v>44.903600070047816</v>
      </c>
      <c r="H88" s="1" t="s">
        <v>233</v>
      </c>
      <c r="I88" s="58">
        <v>82</v>
      </c>
      <c r="J88" s="87">
        <v>48.595289282498776</v>
      </c>
      <c r="K88" s="87">
        <v>33.551228711304397</v>
      </c>
      <c r="L88" s="87">
        <v>49.648694554577084</v>
      </c>
      <c r="M88" s="87">
        <v>47.81918773181102</v>
      </c>
      <c r="N88" s="58">
        <v>43</v>
      </c>
      <c r="O88" s="58">
        <v>93</v>
      </c>
      <c r="P88" s="58">
        <v>94</v>
      </c>
      <c r="Q88" s="58">
        <v>88</v>
      </c>
      <c r="R88" s="58">
        <v>75.404812173450324</v>
      </c>
      <c r="S88" s="58">
        <v>40.37048374904964</v>
      </c>
      <c r="T88" s="58">
        <v>30.010571924996345</v>
      </c>
      <c r="U88" s="58">
        <v>44.439919805867227</v>
      </c>
      <c r="V88" s="58">
        <v>15.921840508818249</v>
      </c>
      <c r="W88" s="58">
        <v>40.291925819227707</v>
      </c>
      <c r="X88" s="58">
        <v>51.385870932018115</v>
      </c>
      <c r="Y88" s="58">
        <v>41.002978631596122</v>
      </c>
      <c r="Z88" s="58">
        <v>56.557234100117029</v>
      </c>
      <c r="AA88" s="58">
        <v>32.218225150620313</v>
      </c>
      <c r="AB88" s="58">
        <v>57.969285468945777</v>
      </c>
      <c r="AC88" s="58">
        <v>53.270052575866977</v>
      </c>
      <c r="AD88" s="58">
        <v>41</v>
      </c>
      <c r="AE88" s="58">
        <v>35</v>
      </c>
      <c r="AF88" s="58">
        <v>86</v>
      </c>
      <c r="AG88" s="58">
        <v>91</v>
      </c>
      <c r="AH88" s="58">
        <v>122</v>
      </c>
      <c r="AI88" s="58">
        <v>65</v>
      </c>
      <c r="AJ88" s="58">
        <v>69</v>
      </c>
      <c r="AK88" s="58">
        <v>112</v>
      </c>
      <c r="AL88" s="58">
        <v>82</v>
      </c>
      <c r="AM88" s="58">
        <v>63</v>
      </c>
      <c r="AN88" s="58">
        <v>86</v>
      </c>
      <c r="AO88" s="58">
        <v>97</v>
      </c>
      <c r="AP88" s="58">
        <v>82.685866189288006</v>
      </c>
      <c r="AQ88" s="58">
        <v>39.375791753975854</v>
      </c>
      <c r="AR88" s="58">
        <v>71.166301275293293</v>
      </c>
      <c r="AS88" s="58">
        <v>98.526315789473671</v>
      </c>
      <c r="AT88" s="58">
        <v>81.444902490491984</v>
      </c>
      <c r="AU88" s="58">
        <v>79.229695542179101</v>
      </c>
      <c r="AV88" s="58">
        <v>3.2373106429442058</v>
      </c>
      <c r="AW88" s="58">
        <v>0.22840392532927362</v>
      </c>
      <c r="AX88" s="58">
        <v>62.808543953991425</v>
      </c>
      <c r="AY88" s="58">
        <v>95.207676473933674</v>
      </c>
      <c r="AZ88" s="58">
        <v>48.874134248059711</v>
      </c>
      <c r="BA88" s="58">
        <v>29.000000000000004</v>
      </c>
      <c r="BB88" s="58" t="s">
        <v>920</v>
      </c>
      <c r="BC88" s="58">
        <v>12.157581526929313</v>
      </c>
      <c r="BD88" s="58">
        <v>46.832470706821347</v>
      </c>
      <c r="BE88" s="58">
        <v>35.162444867354871</v>
      </c>
      <c r="BF88" s="58">
        <v>28.072455956984992</v>
      </c>
      <c r="BG88" s="58">
        <v>67.692307692307693</v>
      </c>
      <c r="BH88" s="58" t="s">
        <v>920</v>
      </c>
      <c r="BI88" s="58">
        <v>17.619322599566225</v>
      </c>
      <c r="BJ88" s="58">
        <v>0.8809764349778253</v>
      </c>
      <c r="BK88" s="58">
        <v>39.63818336370872</v>
      </c>
      <c r="BL88" s="58">
        <v>5.5488796370202298</v>
      </c>
      <c r="BM88" s="58">
        <v>68.412314577543583</v>
      </c>
      <c r="BN88" s="58">
        <v>24.00482633330634</v>
      </c>
      <c r="BO88" s="58">
        <v>28.458636546833183</v>
      </c>
      <c r="BP88" s="58" t="s">
        <v>920</v>
      </c>
      <c r="BQ88" s="58">
        <v>50.332731476967318</v>
      </c>
      <c r="BR88" s="58">
        <v>96.351621547220489</v>
      </c>
      <c r="BS88" s="58" t="s">
        <v>920</v>
      </c>
      <c r="BT88" s="58">
        <v>7.4732597718665348</v>
      </c>
      <c r="BU88" s="58">
        <v>19.352051950540609</v>
      </c>
      <c r="BV88" s="58">
        <v>35.312499999595701</v>
      </c>
      <c r="BW88" s="58">
        <v>28.253700809669279</v>
      </c>
      <c r="BX88" s="58">
        <v>75</v>
      </c>
      <c r="BY88" s="58">
        <v>47.096640398175026</v>
      </c>
      <c r="BZ88" s="58">
        <v>59.415996614473123</v>
      </c>
      <c r="CA88" s="58">
        <v>57.303320486348767</v>
      </c>
      <c r="CB88" s="58">
        <v>15.967266910431038</v>
      </c>
      <c r="CC88" s="58">
        <v>93.542352389215196</v>
      </c>
      <c r="CD88" s="58" t="s">
        <v>920</v>
      </c>
      <c r="CE88" s="58">
        <v>70.636318594207211</v>
      </c>
      <c r="CF88" s="58">
        <v>18.834605806771311</v>
      </c>
      <c r="CG88" s="58">
        <v>7.1837510508824254</v>
      </c>
      <c r="CH88" s="58">
        <v>13.203753351206437</v>
      </c>
      <c r="CI88" s="58">
        <v>88.020833333333343</v>
      </c>
      <c r="CJ88" s="58">
        <v>81.887755102040828</v>
      </c>
      <c r="CK88" s="58">
        <v>63.47878434255427</v>
      </c>
      <c r="CL88" s="58">
        <v>37.777777777777779</v>
      </c>
      <c r="CM88" s="58" t="s">
        <v>920</v>
      </c>
      <c r="CN88" s="58">
        <v>26.36363636363636</v>
      </c>
      <c r="CO88" s="58">
        <v>92.465016146393964</v>
      </c>
      <c r="CP88" s="58">
        <v>44.185232657363493</v>
      </c>
      <c r="CQ88" s="58">
        <v>32</v>
      </c>
      <c r="CR88" s="58">
        <v>99</v>
      </c>
      <c r="CS88" s="58">
        <v>5</v>
      </c>
      <c r="CT88" s="58">
        <v>47</v>
      </c>
      <c r="CU88" s="58">
        <v>20</v>
      </c>
      <c r="CV88" s="58">
        <v>51</v>
      </c>
      <c r="CW88" s="58">
        <v>91</v>
      </c>
      <c r="CX88" s="58">
        <v>114</v>
      </c>
      <c r="CY88" s="58">
        <v>69</v>
      </c>
      <c r="CZ88" s="58">
        <v>7</v>
      </c>
      <c r="DA88" s="58">
        <v>81</v>
      </c>
      <c r="DB88" s="58">
        <v>95</v>
      </c>
      <c r="DC88" s="58" t="s">
        <v>920</v>
      </c>
      <c r="DD88" s="58">
        <v>77</v>
      </c>
      <c r="DE88" s="58">
        <v>13</v>
      </c>
      <c r="DF88" s="58">
        <v>92</v>
      </c>
      <c r="DG88" s="58">
        <v>102</v>
      </c>
      <c r="DH88" s="58">
        <v>74</v>
      </c>
      <c r="DI88" s="58" t="s">
        <v>920</v>
      </c>
      <c r="DJ88" s="58">
        <v>104</v>
      </c>
      <c r="DK88" s="58">
        <v>87</v>
      </c>
      <c r="DL88" s="58">
        <v>68</v>
      </c>
      <c r="DM88" s="58">
        <v>60</v>
      </c>
      <c r="DN88" s="58">
        <v>67</v>
      </c>
      <c r="DO88" s="58">
        <v>69</v>
      </c>
      <c r="DP88" s="58">
        <v>80</v>
      </c>
      <c r="DQ88" s="58" t="s">
        <v>920</v>
      </c>
      <c r="DR88" s="58">
        <v>83</v>
      </c>
      <c r="DS88" s="58">
        <v>39</v>
      </c>
      <c r="DT88" s="58" t="s">
        <v>920</v>
      </c>
      <c r="DU88" s="58">
        <v>100</v>
      </c>
      <c r="DV88" s="58">
        <v>117</v>
      </c>
      <c r="DW88" s="58">
        <v>117</v>
      </c>
      <c r="DX88" s="58">
        <v>90</v>
      </c>
      <c r="DY88" s="58">
        <v>72</v>
      </c>
      <c r="DZ88" s="58">
        <v>93</v>
      </c>
      <c r="EA88" s="58">
        <v>69</v>
      </c>
      <c r="EB88" s="58">
        <v>83</v>
      </c>
      <c r="EC88" s="58">
        <v>100</v>
      </c>
      <c r="ED88" s="58">
        <v>2</v>
      </c>
      <c r="EE88" s="58" t="s">
        <v>920</v>
      </c>
      <c r="EF88" s="58">
        <v>23</v>
      </c>
      <c r="EG88" s="58">
        <v>96</v>
      </c>
      <c r="EH88" s="58">
        <v>83</v>
      </c>
      <c r="EI88" s="58">
        <v>117</v>
      </c>
      <c r="EJ88" s="58">
        <v>21</v>
      </c>
      <c r="EK88" s="58">
        <v>28</v>
      </c>
      <c r="EL88" s="58">
        <v>75</v>
      </c>
      <c r="EM88" s="58">
        <v>106</v>
      </c>
      <c r="EN88" s="58" t="s">
        <v>920</v>
      </c>
      <c r="EO88" s="58">
        <v>122</v>
      </c>
      <c r="EP88" s="58">
        <v>9</v>
      </c>
      <c r="EQ88" s="58">
        <v>87</v>
      </c>
    </row>
    <row r="89" spans="1:147" x14ac:dyDescent="0.45">
      <c r="A89" t="s">
        <v>94</v>
      </c>
      <c r="B89" s="59" t="s">
        <v>371</v>
      </c>
      <c r="C89" s="37" t="s">
        <v>37</v>
      </c>
      <c r="D89" s="37" t="s">
        <v>880</v>
      </c>
      <c r="E89" s="104">
        <v>43651.385000000002</v>
      </c>
      <c r="F89" s="104">
        <v>4459000</v>
      </c>
      <c r="G89" s="87">
        <v>43.818607133684615</v>
      </c>
      <c r="H89" s="1" t="s">
        <v>214</v>
      </c>
      <c r="I89" s="58">
        <v>83</v>
      </c>
      <c r="J89" s="87">
        <v>37.743670260714403</v>
      </c>
      <c r="K89" s="87">
        <v>34.841350280514945</v>
      </c>
      <c r="L89" s="87">
        <v>49.412566416204548</v>
      </c>
      <c r="M89" s="87">
        <v>53.276841577304559</v>
      </c>
      <c r="N89" s="58">
        <v>82</v>
      </c>
      <c r="O89" s="58">
        <v>86</v>
      </c>
      <c r="P89" s="58">
        <v>96</v>
      </c>
      <c r="Q89" s="58">
        <v>64</v>
      </c>
      <c r="R89" s="58">
        <v>56.048367662501619</v>
      </c>
      <c r="S89" s="58">
        <v>22.309541376045694</v>
      </c>
      <c r="T89" s="58">
        <v>34.873101743595882</v>
      </c>
      <c r="U89" s="58">
        <v>58.995726542684338</v>
      </c>
      <c r="V89" s="58">
        <v>16.093167839658776</v>
      </c>
      <c r="W89" s="58">
        <v>29.435156459201718</v>
      </c>
      <c r="X89" s="58">
        <v>45.635636769470388</v>
      </c>
      <c r="Y89" s="58">
        <v>61.917583893118923</v>
      </c>
      <c r="Z89" s="58">
        <v>40.684478586024326</v>
      </c>
      <c r="AA89" s="58">
        <v>23.211407495082682</v>
      </c>
      <c r="AB89" s="58">
        <v>69.2177333477335</v>
      </c>
      <c r="AC89" s="58">
        <v>67.401383889097474</v>
      </c>
      <c r="AD89" s="58">
        <v>96</v>
      </c>
      <c r="AE89" s="58">
        <v>74</v>
      </c>
      <c r="AF89" s="58">
        <v>61</v>
      </c>
      <c r="AG89" s="58">
        <v>30</v>
      </c>
      <c r="AH89" s="58">
        <v>121</v>
      </c>
      <c r="AI89" s="58">
        <v>93</v>
      </c>
      <c r="AJ89" s="58">
        <v>86</v>
      </c>
      <c r="AK89" s="58">
        <v>68</v>
      </c>
      <c r="AL89" s="58">
        <v>112</v>
      </c>
      <c r="AM89" s="58">
        <v>103</v>
      </c>
      <c r="AN89" s="58">
        <v>50</v>
      </c>
      <c r="AO89" s="58">
        <v>54</v>
      </c>
      <c r="AP89" s="58">
        <v>50.781941803427799</v>
      </c>
      <c r="AQ89" s="58">
        <v>91.976996875336937</v>
      </c>
      <c r="AR89" s="58">
        <v>15.651279306218161</v>
      </c>
      <c r="AS89" s="58">
        <v>73.68421052631578</v>
      </c>
      <c r="AT89" s="58">
        <v>63.335555600918134</v>
      </c>
      <c r="AU89" s="58">
        <v>40.860221862792898</v>
      </c>
      <c r="AV89" s="58">
        <v>3.626078379052962</v>
      </c>
      <c r="AW89" s="58">
        <v>16.944958381020388</v>
      </c>
      <c r="AX89" s="58">
        <v>68.537798696366352</v>
      </c>
      <c r="AY89" s="58">
        <v>0.12933004774306797</v>
      </c>
      <c r="AZ89" s="58">
        <v>47.798479520458834</v>
      </c>
      <c r="BA89" s="58">
        <v>40.25</v>
      </c>
      <c r="BB89" s="58" t="s">
        <v>920</v>
      </c>
      <c r="BC89" s="58">
        <v>16.570825710328801</v>
      </c>
      <c r="BD89" s="58" t="s">
        <v>920</v>
      </c>
      <c r="BE89" s="58">
        <v>20.97347531646632</v>
      </c>
      <c r="BF89" s="58">
        <v>61.773496339594402</v>
      </c>
      <c r="BG89" s="58">
        <v>94.240207971992305</v>
      </c>
      <c r="BH89" s="58" t="s">
        <v>920</v>
      </c>
      <c r="BI89" s="58" t="s">
        <v>920</v>
      </c>
      <c r="BJ89" s="58">
        <v>4.07165550098129</v>
      </c>
      <c r="BK89" s="58">
        <v>39.998287538117964</v>
      </c>
      <c r="BL89" s="58">
        <v>4.209560479877072</v>
      </c>
      <c r="BM89" s="58">
        <v>57.951660831799423</v>
      </c>
      <c r="BN89" s="58">
        <v>42.414675627213519</v>
      </c>
      <c r="BO89" s="58">
        <v>14.970298219395151</v>
      </c>
      <c r="BP89" s="58">
        <v>2.4039911583987759</v>
      </c>
      <c r="BQ89" s="58">
        <v>62.080627876622927</v>
      </c>
      <c r="BR89" s="58">
        <v>59.797703711191005</v>
      </c>
      <c r="BS89" s="58">
        <v>41.218450768339324</v>
      </c>
      <c r="BT89" s="58">
        <v>19.445764721728292</v>
      </c>
      <c r="BU89" s="58">
        <v>45.200876323206053</v>
      </c>
      <c r="BV89" s="58">
        <v>63.437499999771482</v>
      </c>
      <c r="BW89" s="58">
        <v>43.660036713749378</v>
      </c>
      <c r="BX89" s="58">
        <v>75</v>
      </c>
      <c r="BY89" s="58">
        <v>82.289506428867682</v>
      </c>
      <c r="BZ89" s="58">
        <v>49.269995768091398</v>
      </c>
      <c r="CA89" s="58">
        <v>26.393297021165278</v>
      </c>
      <c r="CB89" s="58">
        <v>69.040725836072099</v>
      </c>
      <c r="CC89" s="58">
        <v>18.033895718768516</v>
      </c>
      <c r="CD89" s="58">
        <v>0.34130360766752094</v>
      </c>
      <c r="CE89" s="58">
        <v>49.433574821636817</v>
      </c>
      <c r="CF89" s="58">
        <v>32.358594482336336</v>
      </c>
      <c r="CG89" s="58">
        <v>10.712157068690056</v>
      </c>
      <c r="CH89" s="58">
        <v>70.308310991957114</v>
      </c>
      <c r="CI89" s="58">
        <v>82.291666666666657</v>
      </c>
      <c r="CJ89" s="58">
        <v>33.928571428571431</v>
      </c>
      <c r="CK89" s="58">
        <v>76.177873340582011</v>
      </c>
      <c r="CL89" s="58">
        <v>95.555555555555557</v>
      </c>
      <c r="CM89" s="58">
        <v>17.102903844738371</v>
      </c>
      <c r="CN89" s="58">
        <v>70</v>
      </c>
      <c r="CO89" s="58">
        <v>95.371367061356295</v>
      </c>
      <c r="CP89" s="58">
        <v>78.706973745034986</v>
      </c>
      <c r="CQ89" s="58">
        <v>95</v>
      </c>
      <c r="CR89" s="58">
        <v>26</v>
      </c>
      <c r="CS89" s="58">
        <v>102</v>
      </c>
      <c r="CT89" s="58">
        <v>100</v>
      </c>
      <c r="CU89" s="58">
        <v>106</v>
      </c>
      <c r="CV89" s="58">
        <v>68</v>
      </c>
      <c r="CW89" s="58">
        <v>88</v>
      </c>
      <c r="CX89" s="58">
        <v>37</v>
      </c>
      <c r="CY89" s="58">
        <v>50</v>
      </c>
      <c r="CZ89" s="58">
        <v>118</v>
      </c>
      <c r="DA89" s="58">
        <v>84</v>
      </c>
      <c r="DB89" s="58">
        <v>62</v>
      </c>
      <c r="DC89" s="58" t="s">
        <v>920</v>
      </c>
      <c r="DD89" s="58">
        <v>67</v>
      </c>
      <c r="DE89" s="58" t="s">
        <v>920</v>
      </c>
      <c r="DF89" s="58">
        <v>109</v>
      </c>
      <c r="DG89" s="58">
        <v>73</v>
      </c>
      <c r="DH89" s="58">
        <v>38</v>
      </c>
      <c r="DI89" s="58" t="s">
        <v>920</v>
      </c>
      <c r="DJ89" s="58" t="s">
        <v>920</v>
      </c>
      <c r="DK89" s="58">
        <v>69</v>
      </c>
      <c r="DL89" s="58">
        <v>66</v>
      </c>
      <c r="DM89" s="58">
        <v>66</v>
      </c>
      <c r="DN89" s="58">
        <v>83</v>
      </c>
      <c r="DO89" s="58">
        <v>42</v>
      </c>
      <c r="DP89" s="58">
        <v>102</v>
      </c>
      <c r="DQ89" s="58">
        <v>89</v>
      </c>
      <c r="DR89" s="58">
        <v>63</v>
      </c>
      <c r="DS89" s="58">
        <v>95</v>
      </c>
      <c r="DT89" s="58">
        <v>30</v>
      </c>
      <c r="DU89" s="58">
        <v>74</v>
      </c>
      <c r="DV89" s="58">
        <v>66</v>
      </c>
      <c r="DW89" s="58">
        <v>78</v>
      </c>
      <c r="DX89" s="58">
        <v>64</v>
      </c>
      <c r="DY89" s="58">
        <v>72</v>
      </c>
      <c r="DZ89" s="58">
        <v>24</v>
      </c>
      <c r="EA89" s="58">
        <v>81</v>
      </c>
      <c r="EB89" s="58">
        <v>117</v>
      </c>
      <c r="EC89" s="58">
        <v>22</v>
      </c>
      <c r="ED89" s="58">
        <v>73</v>
      </c>
      <c r="EE89" s="58">
        <v>63</v>
      </c>
      <c r="EF89" s="58">
        <v>76</v>
      </c>
      <c r="EG89" s="58">
        <v>73</v>
      </c>
      <c r="EH89" s="58">
        <v>72</v>
      </c>
      <c r="EI89" s="58">
        <v>38</v>
      </c>
      <c r="EJ89" s="58">
        <v>38</v>
      </c>
      <c r="EK89" s="58">
        <v>105</v>
      </c>
      <c r="EL89" s="58">
        <v>36</v>
      </c>
      <c r="EM89" s="58">
        <v>46</v>
      </c>
      <c r="EN89" s="58">
        <v>69</v>
      </c>
      <c r="EO89" s="58">
        <v>88</v>
      </c>
      <c r="EP89" s="58">
        <v>5</v>
      </c>
      <c r="EQ89" s="58">
        <v>33</v>
      </c>
    </row>
    <row r="90" spans="1:147" x14ac:dyDescent="0.45">
      <c r="A90" t="s">
        <v>374</v>
      </c>
      <c r="B90" s="59" t="s">
        <v>373</v>
      </c>
      <c r="C90" s="37" t="s">
        <v>31</v>
      </c>
      <c r="D90" s="37" t="s">
        <v>881</v>
      </c>
      <c r="E90" s="104">
        <v>21473.13</v>
      </c>
      <c r="F90" s="104">
        <v>90609000</v>
      </c>
      <c r="G90" s="87">
        <v>43.253749448041283</v>
      </c>
      <c r="H90" s="1" t="s">
        <v>218</v>
      </c>
      <c r="I90" s="58">
        <v>84</v>
      </c>
      <c r="J90" s="87">
        <v>48.405070731622438</v>
      </c>
      <c r="K90" s="87">
        <v>38.110557997633883</v>
      </c>
      <c r="L90" s="87">
        <v>54.190897485060418</v>
      </c>
      <c r="M90" s="87">
        <v>32.308471577848387</v>
      </c>
      <c r="N90" s="58">
        <v>44</v>
      </c>
      <c r="O90" s="58">
        <v>76</v>
      </c>
      <c r="P90" s="58">
        <v>79</v>
      </c>
      <c r="Q90" s="58">
        <v>124</v>
      </c>
      <c r="R90" s="58">
        <v>57.211001200990623</v>
      </c>
      <c r="S90" s="58">
        <v>40.649310655233506</v>
      </c>
      <c r="T90" s="58">
        <v>47.354900338643198</v>
      </c>
      <c r="U90" s="58">
        <v>55.722223737453305</v>
      </c>
      <c r="V90" s="58">
        <v>37.72573435772776</v>
      </c>
      <c r="W90" s="58">
        <v>20.883715897720595</v>
      </c>
      <c r="X90" s="58">
        <v>56.429769129342567</v>
      </c>
      <c r="Y90" s="58">
        <v>45.460388236352983</v>
      </c>
      <c r="Z90" s="58">
        <v>60.682535089485704</v>
      </c>
      <c r="AA90" s="58">
        <v>21.841218225346722</v>
      </c>
      <c r="AB90" s="58">
        <v>45.484660028329415</v>
      </c>
      <c r="AC90" s="58">
        <v>29.599536479869013</v>
      </c>
      <c r="AD90" s="58">
        <v>92</v>
      </c>
      <c r="AE90" s="58">
        <v>34</v>
      </c>
      <c r="AF90" s="58">
        <v>30</v>
      </c>
      <c r="AG90" s="58">
        <v>43</v>
      </c>
      <c r="AH90" s="58">
        <v>42</v>
      </c>
      <c r="AI90" s="58">
        <v>112</v>
      </c>
      <c r="AJ90" s="58">
        <v>63</v>
      </c>
      <c r="AK90" s="58">
        <v>107</v>
      </c>
      <c r="AL90" s="58">
        <v>70</v>
      </c>
      <c r="AM90" s="58">
        <v>108</v>
      </c>
      <c r="AN90" s="58">
        <v>107</v>
      </c>
      <c r="AO90" s="58">
        <v>127</v>
      </c>
      <c r="AP90" s="58">
        <v>52.531588621247202</v>
      </c>
      <c r="AQ90" s="58">
        <v>41.941695047453393</v>
      </c>
      <c r="AR90" s="58">
        <v>28.133962361079117</v>
      </c>
      <c r="AS90" s="58">
        <v>83.315789473684205</v>
      </c>
      <c r="AT90" s="58">
        <v>80.131970501489192</v>
      </c>
      <c r="AU90" s="58" t="s">
        <v>920</v>
      </c>
      <c r="AV90" s="58">
        <v>2.0994675184996336</v>
      </c>
      <c r="AW90" s="58">
        <v>5.1035450181579822</v>
      </c>
      <c r="AX90" s="58">
        <v>55.394230084276408</v>
      </c>
      <c r="AY90" s="58">
        <v>100</v>
      </c>
      <c r="AZ90" s="58">
        <v>62.599056055748612</v>
      </c>
      <c r="BA90" s="58">
        <v>27.749999999999996</v>
      </c>
      <c r="BB90" s="58" t="s">
        <v>920</v>
      </c>
      <c r="BC90" s="58">
        <v>51.715644960180981</v>
      </c>
      <c r="BD90" s="58">
        <v>51.103114095631611</v>
      </c>
      <c r="BE90" s="58">
        <v>36.32651800898914</v>
      </c>
      <c r="BF90" s="58">
        <v>52.500287486197529</v>
      </c>
      <c r="BG90" s="58">
        <v>82.95897535899492</v>
      </c>
      <c r="BH90" s="58" t="s">
        <v>920</v>
      </c>
      <c r="BI90" s="58" t="s">
        <v>920</v>
      </c>
      <c r="BJ90" s="58" t="s">
        <v>920</v>
      </c>
      <c r="BK90" s="58">
        <v>67.079410196862867</v>
      </c>
      <c r="BL90" s="58">
        <v>8.3720585185926559</v>
      </c>
      <c r="BM90" s="58">
        <v>25.08391381239398</v>
      </c>
      <c r="BN90" s="58" t="s">
        <v>920</v>
      </c>
      <c r="BO90" s="58">
        <v>26.19314042821631</v>
      </c>
      <c r="BP90" s="58">
        <v>11.37409345255149</v>
      </c>
      <c r="BQ90" s="58">
        <v>71.557738407679864</v>
      </c>
      <c r="BR90" s="58">
        <v>58.575541419569596</v>
      </c>
      <c r="BS90" s="58" t="s">
        <v>920</v>
      </c>
      <c r="BT90" s="58">
        <v>39.156027560778256</v>
      </c>
      <c r="BU90" s="58">
        <v>0</v>
      </c>
      <c r="BV90" s="58">
        <v>71.874999999824212</v>
      </c>
      <c r="BW90" s="58">
        <v>22.56713197414312</v>
      </c>
      <c r="BX90" s="58">
        <v>75</v>
      </c>
      <c r="BY90" s="58">
        <v>57.859809207797596</v>
      </c>
      <c r="BZ90" s="58">
        <v>13.044858231062209</v>
      </c>
      <c r="CA90" s="58">
        <v>79.126005989595228</v>
      </c>
      <c r="CB90" s="58">
        <v>63.646049614728447</v>
      </c>
      <c r="CC90" s="58">
        <v>86.913226522556926</v>
      </c>
      <c r="CD90" s="58">
        <v>0.6348351229515492</v>
      </c>
      <c r="CE90" s="58">
        <v>70.668475174409537</v>
      </c>
      <c r="CF90" s="58">
        <v>14.530184290344872</v>
      </c>
      <c r="CG90" s="58">
        <v>1.5313783136809298</v>
      </c>
      <c r="CH90" s="58">
        <v>40.951742627345851</v>
      </c>
      <c r="CI90" s="58">
        <v>27.604166666666668</v>
      </c>
      <c r="CJ90" s="58">
        <v>69.132653061224502</v>
      </c>
      <c r="CK90" s="58">
        <v>66.663488520726972</v>
      </c>
      <c r="CL90" s="58">
        <v>86.666666666666671</v>
      </c>
      <c r="CM90" s="58" t="s">
        <v>920</v>
      </c>
      <c r="CN90" s="58">
        <v>0</v>
      </c>
      <c r="CO90" s="58">
        <v>13.455328310010756</v>
      </c>
      <c r="CP90" s="58">
        <v>64.019895592525884</v>
      </c>
      <c r="CQ90" s="58">
        <v>91</v>
      </c>
      <c r="CR90" s="58">
        <v>93</v>
      </c>
      <c r="CS90" s="58">
        <v>75</v>
      </c>
      <c r="CT90" s="58">
        <v>94</v>
      </c>
      <c r="CU90" s="58">
        <v>21</v>
      </c>
      <c r="CV90" s="58" t="s">
        <v>920</v>
      </c>
      <c r="CW90" s="58">
        <v>100</v>
      </c>
      <c r="CX90" s="58">
        <v>59</v>
      </c>
      <c r="CY90" s="58">
        <v>90</v>
      </c>
      <c r="CZ90" s="58">
        <v>1</v>
      </c>
      <c r="DA90" s="58">
        <v>59</v>
      </c>
      <c r="DB90" s="58">
        <v>100</v>
      </c>
      <c r="DC90" s="58" t="s">
        <v>920</v>
      </c>
      <c r="DD90" s="58">
        <v>5</v>
      </c>
      <c r="DE90" s="58">
        <v>9</v>
      </c>
      <c r="DF90" s="58">
        <v>89</v>
      </c>
      <c r="DG90" s="58">
        <v>88</v>
      </c>
      <c r="DH90" s="58">
        <v>61</v>
      </c>
      <c r="DI90" s="58" t="s">
        <v>920</v>
      </c>
      <c r="DJ90" s="58" t="s">
        <v>920</v>
      </c>
      <c r="DK90" s="58" t="s">
        <v>920</v>
      </c>
      <c r="DL90" s="58">
        <v>9</v>
      </c>
      <c r="DM90" s="58">
        <v>54</v>
      </c>
      <c r="DN90" s="58">
        <v>118</v>
      </c>
      <c r="DO90" s="58" t="s">
        <v>920</v>
      </c>
      <c r="DP90" s="58">
        <v>84</v>
      </c>
      <c r="DQ90" s="58">
        <v>50</v>
      </c>
      <c r="DR90" s="58">
        <v>48</v>
      </c>
      <c r="DS90" s="58">
        <v>102</v>
      </c>
      <c r="DT90" s="58" t="s">
        <v>920</v>
      </c>
      <c r="DU90" s="58">
        <v>54</v>
      </c>
      <c r="DV90" s="58">
        <v>127</v>
      </c>
      <c r="DW90" s="58">
        <v>70</v>
      </c>
      <c r="DX90" s="58">
        <v>99</v>
      </c>
      <c r="DY90" s="58">
        <v>72</v>
      </c>
      <c r="DZ90" s="58">
        <v>75</v>
      </c>
      <c r="EA90" s="58">
        <v>123</v>
      </c>
      <c r="EB90" s="58">
        <v>51</v>
      </c>
      <c r="EC90" s="58">
        <v>67</v>
      </c>
      <c r="ED90" s="58">
        <v>6</v>
      </c>
      <c r="EE90" s="58">
        <v>55</v>
      </c>
      <c r="EF90" s="58">
        <v>22</v>
      </c>
      <c r="EG90" s="58">
        <v>98</v>
      </c>
      <c r="EH90" s="58">
        <v>116</v>
      </c>
      <c r="EI90" s="58">
        <v>93</v>
      </c>
      <c r="EJ90" s="58">
        <v>118</v>
      </c>
      <c r="EK90" s="58">
        <v>63</v>
      </c>
      <c r="EL90" s="58">
        <v>61</v>
      </c>
      <c r="EM90" s="58">
        <v>63</v>
      </c>
      <c r="EN90" s="58" t="s">
        <v>920</v>
      </c>
      <c r="EO90" s="58">
        <v>127</v>
      </c>
      <c r="EP90" s="58">
        <v>123</v>
      </c>
      <c r="EQ90" s="58">
        <v>61</v>
      </c>
    </row>
    <row r="91" spans="1:147" x14ac:dyDescent="0.45">
      <c r="A91" t="s">
        <v>111</v>
      </c>
      <c r="B91" s="59" t="s">
        <v>395</v>
      </c>
      <c r="C91" s="37" t="s">
        <v>25</v>
      </c>
      <c r="D91" s="37" t="s">
        <v>882</v>
      </c>
      <c r="E91" s="104">
        <v>8410.2939999999999</v>
      </c>
      <c r="F91" s="104">
        <v>33788000</v>
      </c>
      <c r="G91" s="87">
        <v>43.049241047820601</v>
      </c>
      <c r="H91" s="1" t="s">
        <v>234</v>
      </c>
      <c r="I91" s="58">
        <v>85</v>
      </c>
      <c r="J91" s="87">
        <v>35.586799940993885</v>
      </c>
      <c r="K91" s="87">
        <v>36.632216155842691</v>
      </c>
      <c r="L91" s="87">
        <v>55.99047593717389</v>
      </c>
      <c r="M91" s="87">
        <v>43.987472157271924</v>
      </c>
      <c r="N91" s="58">
        <v>87</v>
      </c>
      <c r="O91" s="58">
        <v>82</v>
      </c>
      <c r="P91" s="58">
        <v>74</v>
      </c>
      <c r="Q91" s="58">
        <v>101</v>
      </c>
      <c r="R91" s="58">
        <v>60.720062896347983</v>
      </c>
      <c r="S91" s="58">
        <v>13.411642705649454</v>
      </c>
      <c r="T91" s="58">
        <v>32.628694220984215</v>
      </c>
      <c r="U91" s="58">
        <v>36.341145921734309</v>
      </c>
      <c r="V91" s="58">
        <v>27.608528968813633</v>
      </c>
      <c r="W91" s="58">
        <v>45.946973576980135</v>
      </c>
      <c r="X91" s="58">
        <v>50.088272591362305</v>
      </c>
      <c r="Y91" s="58">
        <v>58.299772301984248</v>
      </c>
      <c r="Z91" s="58">
        <v>59.583382918175126</v>
      </c>
      <c r="AA91" s="58">
        <v>25.64738345035126</v>
      </c>
      <c r="AB91" s="58">
        <v>46.817564074625786</v>
      </c>
      <c r="AC91" s="58">
        <v>59.49746894683873</v>
      </c>
      <c r="AD91" s="58">
        <v>83</v>
      </c>
      <c r="AE91" s="58">
        <v>105</v>
      </c>
      <c r="AF91" s="58">
        <v>72</v>
      </c>
      <c r="AG91" s="58">
        <v>103</v>
      </c>
      <c r="AH91" s="58">
        <v>75</v>
      </c>
      <c r="AI91" s="58">
        <v>49</v>
      </c>
      <c r="AJ91" s="58">
        <v>71</v>
      </c>
      <c r="AK91" s="58">
        <v>75</v>
      </c>
      <c r="AL91" s="58">
        <v>72</v>
      </c>
      <c r="AM91" s="58">
        <v>96</v>
      </c>
      <c r="AN91" s="58">
        <v>104</v>
      </c>
      <c r="AO91" s="58">
        <v>84</v>
      </c>
      <c r="AP91" s="58">
        <v>64.604112130980297</v>
      </c>
      <c r="AQ91" s="58">
        <v>33.952201691002408</v>
      </c>
      <c r="AR91" s="58">
        <v>32.127853587903402</v>
      </c>
      <c r="AS91" s="58">
        <v>97.368421052631575</v>
      </c>
      <c r="AT91" s="58">
        <v>75.547726019222239</v>
      </c>
      <c r="AU91" s="58" t="s">
        <v>920</v>
      </c>
      <c r="AV91" s="58">
        <v>2.7091745461510142</v>
      </c>
      <c r="AW91" s="58">
        <v>0.28493458951531681</v>
      </c>
      <c r="AX91" s="58">
        <v>39.200516215605106</v>
      </c>
      <c r="AY91" s="58">
        <v>11.451945471326381</v>
      </c>
      <c r="AZ91" s="58">
        <v>47.77811903636244</v>
      </c>
      <c r="BA91" s="58">
        <v>49.250000000000007</v>
      </c>
      <c r="BB91" s="58" t="s">
        <v>920</v>
      </c>
      <c r="BC91" s="58">
        <v>0.85796362659019565</v>
      </c>
      <c r="BD91" s="58">
        <v>21.439947191906988</v>
      </c>
      <c r="BE91" s="58">
        <v>42.043935977877695</v>
      </c>
      <c r="BF91" s="58">
        <v>18.056578014899006</v>
      </c>
      <c r="BG91" s="58">
        <v>63.82412250225353</v>
      </c>
      <c r="BH91" s="58" t="s">
        <v>920</v>
      </c>
      <c r="BI91" s="58">
        <v>61.042427328819748</v>
      </c>
      <c r="BJ91" s="58">
        <v>8.4099809513443251</v>
      </c>
      <c r="BK91" s="58">
        <v>39.046964637090539</v>
      </c>
      <c r="BL91" s="58">
        <v>1.9347429579999216</v>
      </c>
      <c r="BM91" s="58">
        <v>52.88434932207263</v>
      </c>
      <c r="BN91" s="58">
        <v>38.309630829952141</v>
      </c>
      <c r="BO91" s="58">
        <v>46.646940578915618</v>
      </c>
      <c r="BP91" s="58" t="s">
        <v>920</v>
      </c>
      <c r="BQ91" s="58">
        <v>29.572073730720977</v>
      </c>
      <c r="BR91" s="58">
        <v>99.125505361467148</v>
      </c>
      <c r="BS91" s="58">
        <v>55.18926141814071</v>
      </c>
      <c r="BT91" s="58">
        <v>16.466249855120378</v>
      </c>
      <c r="BU91" s="58">
        <v>37.707629169192117</v>
      </c>
      <c r="BV91" s="58">
        <v>64.374999999777344</v>
      </c>
      <c r="BW91" s="58">
        <v>32.16820247782443</v>
      </c>
      <c r="BX91" s="58">
        <v>75</v>
      </c>
      <c r="BY91" s="58">
        <v>82.248029863127343</v>
      </c>
      <c r="BZ91" s="58">
        <v>50.719424460431654</v>
      </c>
      <c r="CA91" s="58">
        <v>68.908273178913959</v>
      </c>
      <c r="CB91" s="58" t="s">
        <v>920</v>
      </c>
      <c r="CC91" s="58">
        <v>59.122451115179764</v>
      </c>
      <c r="CD91" s="58" t="s">
        <v>920</v>
      </c>
      <c r="CE91" s="58">
        <v>53.011326929110346</v>
      </c>
      <c r="CF91" s="58">
        <v>18.788209710355797</v>
      </c>
      <c r="CG91" s="58">
        <v>5.1426137115876491</v>
      </c>
      <c r="CH91" s="58">
        <v>24.128686327077752</v>
      </c>
      <c r="CI91" s="58">
        <v>68.619791666666657</v>
      </c>
      <c r="CJ91" s="58">
        <v>49.744897959183675</v>
      </c>
      <c r="CK91" s="58">
        <v>45.663530501082221</v>
      </c>
      <c r="CL91" s="58">
        <v>28.888888888888886</v>
      </c>
      <c r="CM91" s="58" t="s">
        <v>920</v>
      </c>
      <c r="CN91" s="58">
        <v>63.636363636363633</v>
      </c>
      <c r="CO91" s="58">
        <v>85.468245425188371</v>
      </c>
      <c r="CP91" s="58">
        <v>29.886706669039469</v>
      </c>
      <c r="CQ91" s="58">
        <v>69</v>
      </c>
      <c r="CR91" s="58">
        <v>107</v>
      </c>
      <c r="CS91" s="58">
        <v>61</v>
      </c>
      <c r="CT91" s="58">
        <v>57</v>
      </c>
      <c r="CU91" s="58">
        <v>40</v>
      </c>
      <c r="CV91" s="58" t="s">
        <v>920</v>
      </c>
      <c r="CW91" s="58">
        <v>95</v>
      </c>
      <c r="CX91" s="58">
        <v>113</v>
      </c>
      <c r="CY91" s="58">
        <v>114</v>
      </c>
      <c r="CZ91" s="58">
        <v>46</v>
      </c>
      <c r="DA91" s="58">
        <v>85</v>
      </c>
      <c r="DB91" s="58">
        <v>44</v>
      </c>
      <c r="DC91" s="58" t="s">
        <v>920</v>
      </c>
      <c r="DD91" s="58">
        <v>121</v>
      </c>
      <c r="DE91" s="58">
        <v>47</v>
      </c>
      <c r="DF91" s="58">
        <v>80</v>
      </c>
      <c r="DG91" s="58">
        <v>109</v>
      </c>
      <c r="DH91" s="58">
        <v>77</v>
      </c>
      <c r="DI91" s="58" t="s">
        <v>920</v>
      </c>
      <c r="DJ91" s="58">
        <v>53</v>
      </c>
      <c r="DK91" s="58">
        <v>52</v>
      </c>
      <c r="DL91" s="58">
        <v>70</v>
      </c>
      <c r="DM91" s="58">
        <v>82</v>
      </c>
      <c r="DN91" s="58">
        <v>86</v>
      </c>
      <c r="DO91" s="58">
        <v>47</v>
      </c>
      <c r="DP91" s="58">
        <v>40</v>
      </c>
      <c r="DQ91" s="58" t="s">
        <v>920</v>
      </c>
      <c r="DR91" s="58">
        <v>117</v>
      </c>
      <c r="DS91" s="58">
        <v>19</v>
      </c>
      <c r="DT91" s="58">
        <v>21</v>
      </c>
      <c r="DU91" s="58">
        <v>80</v>
      </c>
      <c r="DV91" s="58">
        <v>82</v>
      </c>
      <c r="DW91" s="58">
        <v>77</v>
      </c>
      <c r="DX91" s="58">
        <v>83</v>
      </c>
      <c r="DY91" s="58">
        <v>72</v>
      </c>
      <c r="DZ91" s="58">
        <v>25</v>
      </c>
      <c r="EA91" s="58">
        <v>80</v>
      </c>
      <c r="EB91" s="58">
        <v>70</v>
      </c>
      <c r="EC91" s="58" t="s">
        <v>920</v>
      </c>
      <c r="ED91" s="58">
        <v>48</v>
      </c>
      <c r="EE91" s="58" t="s">
        <v>920</v>
      </c>
      <c r="EF91" s="58">
        <v>66</v>
      </c>
      <c r="EG91" s="58">
        <v>97</v>
      </c>
      <c r="EH91" s="58">
        <v>93</v>
      </c>
      <c r="EI91" s="58">
        <v>111</v>
      </c>
      <c r="EJ91" s="58">
        <v>67</v>
      </c>
      <c r="EK91" s="58">
        <v>94</v>
      </c>
      <c r="EL91" s="58">
        <v>106</v>
      </c>
      <c r="EM91" s="58">
        <v>111</v>
      </c>
      <c r="EN91" s="58" t="s">
        <v>920</v>
      </c>
      <c r="EO91" s="58">
        <v>99</v>
      </c>
      <c r="EP91" s="58">
        <v>31</v>
      </c>
      <c r="EQ91" s="58">
        <v>111</v>
      </c>
    </row>
    <row r="92" spans="1:147" x14ac:dyDescent="0.45">
      <c r="A92" t="s">
        <v>105</v>
      </c>
      <c r="B92" s="59" t="s">
        <v>380</v>
      </c>
      <c r="C92" s="37" t="s">
        <v>37</v>
      </c>
      <c r="D92" s="37" t="s">
        <v>881</v>
      </c>
      <c r="E92" s="104">
        <v>19717.194</v>
      </c>
      <c r="F92" s="104">
        <v>6844000</v>
      </c>
      <c r="G92" s="87">
        <v>42.945668275954638</v>
      </c>
      <c r="H92" s="1" t="s">
        <v>227</v>
      </c>
      <c r="I92" s="58">
        <v>86</v>
      </c>
      <c r="J92" s="87">
        <v>31.217933950474389</v>
      </c>
      <c r="K92" s="87">
        <v>36.396852266065629</v>
      </c>
      <c r="L92" s="87">
        <v>52.644783582793188</v>
      </c>
      <c r="M92" s="87">
        <v>51.523103304485346</v>
      </c>
      <c r="N92" s="58">
        <v>99</v>
      </c>
      <c r="O92" s="58">
        <v>83</v>
      </c>
      <c r="P92" s="58">
        <v>83</v>
      </c>
      <c r="Q92" s="58">
        <v>78</v>
      </c>
      <c r="R92" s="58">
        <v>59.974315522427652</v>
      </c>
      <c r="S92" s="58">
        <v>15.478376659832728</v>
      </c>
      <c r="T92" s="58">
        <v>18.201109669162786</v>
      </c>
      <c r="U92" s="58">
        <v>42.300619349728393</v>
      </c>
      <c r="V92" s="58">
        <v>43.141276247985452</v>
      </c>
      <c r="W92" s="58">
        <v>23.748661200483038</v>
      </c>
      <c r="X92" s="58">
        <v>39.905653361722841</v>
      </c>
      <c r="Y92" s="58">
        <v>54.149982966843126</v>
      </c>
      <c r="Z92" s="58">
        <v>63.878714419813591</v>
      </c>
      <c r="AA92" s="58">
        <v>23.640581600928513</v>
      </c>
      <c r="AB92" s="58">
        <v>68.394367660622109</v>
      </c>
      <c r="AC92" s="58">
        <v>62.534360651905402</v>
      </c>
      <c r="AD92" s="58">
        <v>85</v>
      </c>
      <c r="AE92" s="58">
        <v>99</v>
      </c>
      <c r="AF92" s="58">
        <v>113</v>
      </c>
      <c r="AG92" s="58">
        <v>96</v>
      </c>
      <c r="AH92" s="58">
        <v>35</v>
      </c>
      <c r="AI92" s="58">
        <v>106</v>
      </c>
      <c r="AJ92" s="58">
        <v>100</v>
      </c>
      <c r="AK92" s="58">
        <v>80</v>
      </c>
      <c r="AL92" s="58">
        <v>65</v>
      </c>
      <c r="AM92" s="58">
        <v>100</v>
      </c>
      <c r="AN92" s="58">
        <v>55</v>
      </c>
      <c r="AO92" s="58">
        <v>66</v>
      </c>
      <c r="AP92" s="58">
        <v>57.751191838121997</v>
      </c>
      <c r="AQ92" s="58">
        <v>88.777768896126986</v>
      </c>
      <c r="AR92" s="58">
        <v>33.07494409543871</v>
      </c>
      <c r="AS92" s="58">
        <v>97.94736842105263</v>
      </c>
      <c r="AT92" s="58">
        <v>58.084510173132301</v>
      </c>
      <c r="AU92" s="58">
        <v>24.210109710693299</v>
      </c>
      <c r="AV92" s="58">
        <v>3.0429959090088476</v>
      </c>
      <c r="AW92" s="58">
        <v>1.8704656053334121</v>
      </c>
      <c r="AX92" s="58">
        <v>56.782773313347903</v>
      </c>
      <c r="AY92" s="58">
        <v>0.21727181164074966</v>
      </c>
      <c r="AZ92" s="58">
        <v>32.234672409013356</v>
      </c>
      <c r="BA92" s="58">
        <v>18.999999999999993</v>
      </c>
      <c r="BB92" s="58" t="s">
        <v>920</v>
      </c>
      <c r="BC92" s="58">
        <v>3.3686565984750163</v>
      </c>
      <c r="BD92" s="58">
        <v>2.4416466991897723</v>
      </c>
      <c r="BE92" s="58">
        <v>13.934842695864196</v>
      </c>
      <c r="BF92" s="58">
        <v>60.730662827327151</v>
      </c>
      <c r="BG92" s="58">
        <v>92.095325176532455</v>
      </c>
      <c r="BH92" s="58" t="s">
        <v>920</v>
      </c>
      <c r="BI92" s="58">
        <v>91.847823615803264</v>
      </c>
      <c r="BJ92" s="58" t="s">
        <v>920</v>
      </c>
      <c r="BK92" s="58">
        <v>35.284471180807778</v>
      </c>
      <c r="BL92" s="58">
        <v>2.2915339473453371</v>
      </c>
      <c r="BM92" s="58">
        <v>60.437193970236166</v>
      </c>
      <c r="BN92" s="58">
        <v>21.735624110546457</v>
      </c>
      <c r="BO92" s="58">
        <v>11.024580007059335</v>
      </c>
      <c r="BP92" s="58">
        <v>1.797246714090208</v>
      </c>
      <c r="BQ92" s="58">
        <v>53.488735847608481</v>
      </c>
      <c r="BR92" s="58">
        <v>69.884244329687277</v>
      </c>
      <c r="BS92" s="58">
        <v>23.91160978511266</v>
      </c>
      <c r="BT92" s="58">
        <v>12.338023484482973</v>
      </c>
      <c r="BU92" s="58">
        <v>40.252954513683761</v>
      </c>
      <c r="BV92" s="58">
        <v>33.437499999583977</v>
      </c>
      <c r="BW92" s="58">
        <v>16.325325107343595</v>
      </c>
      <c r="BX92" s="58">
        <v>100</v>
      </c>
      <c r="BY92" s="58">
        <v>80.734135213604304</v>
      </c>
      <c r="BZ92" s="58">
        <v>57.966567922132882</v>
      </c>
      <c r="CA92" s="58">
        <v>58.964512514351007</v>
      </c>
      <c r="CB92" s="58">
        <v>70.520908652971642</v>
      </c>
      <c r="CC92" s="58">
        <v>68.062868589798811</v>
      </c>
      <c r="CD92" s="58" t="s">
        <v>920</v>
      </c>
      <c r="CE92" s="58">
        <v>45.709684966364627</v>
      </c>
      <c r="CF92" s="58">
        <v>24.598768451916911</v>
      </c>
      <c r="CG92" s="58">
        <v>0.61329138450399068</v>
      </c>
      <c r="CH92" s="58">
        <v>65.058087578194815</v>
      </c>
      <c r="CI92" s="58">
        <v>88.151041666666671</v>
      </c>
      <c r="CJ92" s="58">
        <v>47.959183673469383</v>
      </c>
      <c r="CK92" s="58">
        <v>55.988763800540262</v>
      </c>
      <c r="CL92" s="58">
        <v>82.222222222222214</v>
      </c>
      <c r="CM92" s="58">
        <v>9.2005811271625149</v>
      </c>
      <c r="CN92" s="58">
        <v>91.818181818181827</v>
      </c>
      <c r="CO92" s="58">
        <v>78.57911733046285</v>
      </c>
      <c r="CP92" s="58">
        <v>58.856902441406667</v>
      </c>
      <c r="CQ92" s="58">
        <v>83</v>
      </c>
      <c r="CR92" s="58">
        <v>34</v>
      </c>
      <c r="CS92" s="58">
        <v>58</v>
      </c>
      <c r="CT92" s="58">
        <v>53</v>
      </c>
      <c r="CU92" s="58">
        <v>118</v>
      </c>
      <c r="CV92" s="58">
        <v>78</v>
      </c>
      <c r="CW92" s="58">
        <v>92</v>
      </c>
      <c r="CX92" s="58">
        <v>83</v>
      </c>
      <c r="CY92" s="58">
        <v>87</v>
      </c>
      <c r="CZ92" s="58">
        <v>114</v>
      </c>
      <c r="DA92" s="58">
        <v>99</v>
      </c>
      <c r="DB92" s="58">
        <v>118</v>
      </c>
      <c r="DC92" s="58" t="s">
        <v>920</v>
      </c>
      <c r="DD92" s="58">
        <v>105</v>
      </c>
      <c r="DE92" s="58">
        <v>111</v>
      </c>
      <c r="DF92" s="58">
        <v>111</v>
      </c>
      <c r="DG92" s="58">
        <v>76</v>
      </c>
      <c r="DH92" s="58">
        <v>50</v>
      </c>
      <c r="DI92" s="58" t="s">
        <v>920</v>
      </c>
      <c r="DJ92" s="58">
        <v>12</v>
      </c>
      <c r="DK92" s="58" t="s">
        <v>920</v>
      </c>
      <c r="DL92" s="58">
        <v>91</v>
      </c>
      <c r="DM92" s="58">
        <v>78</v>
      </c>
      <c r="DN92" s="58">
        <v>79</v>
      </c>
      <c r="DO92" s="58">
        <v>72</v>
      </c>
      <c r="DP92" s="58">
        <v>106</v>
      </c>
      <c r="DQ92" s="58">
        <v>94</v>
      </c>
      <c r="DR92" s="58">
        <v>78</v>
      </c>
      <c r="DS92" s="58">
        <v>88</v>
      </c>
      <c r="DT92" s="58">
        <v>45</v>
      </c>
      <c r="DU92" s="58">
        <v>86</v>
      </c>
      <c r="DV92" s="58">
        <v>74</v>
      </c>
      <c r="DW92" s="58">
        <v>118</v>
      </c>
      <c r="DX92" s="58">
        <v>105</v>
      </c>
      <c r="DY92" s="58">
        <v>1</v>
      </c>
      <c r="DZ92" s="58">
        <v>27</v>
      </c>
      <c r="EA92" s="58">
        <v>71</v>
      </c>
      <c r="EB92" s="58">
        <v>82</v>
      </c>
      <c r="EC92" s="58">
        <v>14</v>
      </c>
      <c r="ED92" s="58">
        <v>33</v>
      </c>
      <c r="EE92" s="58" t="s">
        <v>920</v>
      </c>
      <c r="EF92" s="58">
        <v>85</v>
      </c>
      <c r="EG92" s="58">
        <v>84</v>
      </c>
      <c r="EH92" s="58">
        <v>126</v>
      </c>
      <c r="EI92" s="58">
        <v>52</v>
      </c>
      <c r="EJ92" s="58">
        <v>20</v>
      </c>
      <c r="EK92" s="58">
        <v>96</v>
      </c>
      <c r="EL92" s="58">
        <v>90</v>
      </c>
      <c r="EM92" s="58">
        <v>69</v>
      </c>
      <c r="EN92" s="58">
        <v>77</v>
      </c>
      <c r="EO92" s="58">
        <v>27</v>
      </c>
      <c r="EP92" s="58">
        <v>52</v>
      </c>
      <c r="EQ92" s="58">
        <v>71</v>
      </c>
    </row>
    <row r="93" spans="1:147" x14ac:dyDescent="0.45">
      <c r="A93" t="s">
        <v>46</v>
      </c>
      <c r="B93" s="59" t="s">
        <v>392</v>
      </c>
      <c r="C93" s="37" t="s">
        <v>25</v>
      </c>
      <c r="D93" s="37" t="s">
        <v>883</v>
      </c>
      <c r="E93" s="104">
        <v>4100.683</v>
      </c>
      <c r="F93" s="104">
        <v>13954000</v>
      </c>
      <c r="G93" s="87">
        <v>42.815042582170889</v>
      </c>
      <c r="H93" s="1" t="s">
        <v>239</v>
      </c>
      <c r="I93" s="58">
        <v>87</v>
      </c>
      <c r="J93" s="87">
        <v>35.695751779859108</v>
      </c>
      <c r="K93" s="87">
        <v>33.910215374696712</v>
      </c>
      <c r="L93" s="87">
        <v>56.638143823863857</v>
      </c>
      <c r="M93" s="87">
        <v>45.01605935026388</v>
      </c>
      <c r="N93" s="58">
        <v>86</v>
      </c>
      <c r="O93" s="58">
        <v>92</v>
      </c>
      <c r="P93" s="58">
        <v>72</v>
      </c>
      <c r="Q93" s="58">
        <v>97</v>
      </c>
      <c r="R93" s="58">
        <v>56.635954740595558</v>
      </c>
      <c r="S93" s="58">
        <v>12.537130397000592</v>
      </c>
      <c r="T93" s="58">
        <v>37.914170201981186</v>
      </c>
      <c r="U93" s="58">
        <v>33.125169939432567</v>
      </c>
      <c r="V93" s="58">
        <v>21.208079476140675</v>
      </c>
      <c r="W93" s="58">
        <v>47.397396708516901</v>
      </c>
      <c r="X93" s="58">
        <v>69.059770627012554</v>
      </c>
      <c r="Y93" s="58">
        <v>50.358361866059667</v>
      </c>
      <c r="Z93" s="58">
        <v>50.496298978519334</v>
      </c>
      <c r="AA93" s="58">
        <v>32.878478405547938</v>
      </c>
      <c r="AB93" s="58">
        <v>34.543718749228049</v>
      </c>
      <c r="AC93" s="58">
        <v>67.625980896015676</v>
      </c>
      <c r="AD93" s="58">
        <v>93</v>
      </c>
      <c r="AE93" s="58">
        <v>107</v>
      </c>
      <c r="AF93" s="58">
        <v>51</v>
      </c>
      <c r="AG93" s="58">
        <v>107</v>
      </c>
      <c r="AH93" s="58">
        <v>104</v>
      </c>
      <c r="AI93" s="58">
        <v>43</v>
      </c>
      <c r="AJ93" s="58">
        <v>50</v>
      </c>
      <c r="AK93" s="58">
        <v>95</v>
      </c>
      <c r="AL93" s="58">
        <v>96</v>
      </c>
      <c r="AM93" s="58">
        <v>61</v>
      </c>
      <c r="AN93" s="58">
        <v>120</v>
      </c>
      <c r="AO93" s="58">
        <v>53</v>
      </c>
      <c r="AP93" s="58">
        <v>49.6882288978194</v>
      </c>
      <c r="AQ93" s="58">
        <v>45.250760000872717</v>
      </c>
      <c r="AR93" s="58">
        <v>27.536647671896347</v>
      </c>
      <c r="AS93" s="58">
        <v>99.105263157894726</v>
      </c>
      <c r="AT93" s="58">
        <v>61.698718790773718</v>
      </c>
      <c r="AU93" s="58">
        <v>56.536109924316399</v>
      </c>
      <c r="AV93" s="58">
        <v>4.1936097217793336</v>
      </c>
      <c r="AW93" s="58">
        <v>0.18108059062353721</v>
      </c>
      <c r="AX93" s="58">
        <v>41.974405534928238</v>
      </c>
      <c r="AY93" s="58">
        <v>3.7994257406712642</v>
      </c>
      <c r="AZ93" s="58">
        <v>59.734439471271585</v>
      </c>
      <c r="BA93" s="58">
        <v>50</v>
      </c>
      <c r="BB93" s="58" t="s">
        <v>920</v>
      </c>
      <c r="BC93" s="58">
        <v>4.0080711346719742</v>
      </c>
      <c r="BD93" s="58">
        <v>4.467059720783805</v>
      </c>
      <c r="BE93" s="58">
        <v>57.720965902931908</v>
      </c>
      <c r="BF93" s="58">
        <v>2.6203464417068547</v>
      </c>
      <c r="BG93" s="58">
        <v>67.692307692307693</v>
      </c>
      <c r="BH93" s="58" t="s">
        <v>920</v>
      </c>
      <c r="BI93" s="58">
        <v>36.716394836515413</v>
      </c>
      <c r="BJ93" s="58">
        <v>17.586791447885695</v>
      </c>
      <c r="BK93" s="58">
        <v>30.199716605028769</v>
      </c>
      <c r="BL93" s="58">
        <v>0.32941501513282823</v>
      </c>
      <c r="BM93" s="58">
        <v>78.423021859698522</v>
      </c>
      <c r="BN93" s="58">
        <v>33.037268106341699</v>
      </c>
      <c r="BO93" s="58">
        <v>65.685869562496407</v>
      </c>
      <c r="BP93" s="58">
        <v>12.443427305530976</v>
      </c>
      <c r="BQ93" s="58">
        <v>40.432183143267203</v>
      </c>
      <c r="BR93" s="58">
        <v>97.687358110757899</v>
      </c>
      <c r="BS93" s="58" t="s">
        <v>920</v>
      </c>
      <c r="BT93" s="58" t="s">
        <v>920</v>
      </c>
      <c r="BU93" s="58">
        <v>45.349388258350082</v>
      </c>
      <c r="BV93" s="58">
        <v>73.124999999894527</v>
      </c>
      <c r="BW93" s="58">
        <v>46.133679885823938</v>
      </c>
      <c r="BX93" s="58">
        <v>50</v>
      </c>
      <c r="BY93" s="58">
        <v>37.183741186229788</v>
      </c>
      <c r="BZ93" s="58">
        <v>73.910283537875571</v>
      </c>
      <c r="CA93" s="58">
        <v>27.08231441916309</v>
      </c>
      <c r="CB93" s="58" t="s">
        <v>920</v>
      </c>
      <c r="CC93" s="58" t="s">
        <v>920</v>
      </c>
      <c r="CD93" s="58" t="s">
        <v>920</v>
      </c>
      <c r="CE93" s="58">
        <v>36.615198362642168</v>
      </c>
      <c r="CF93" s="58">
        <v>56.809968532715573</v>
      </c>
      <c r="CG93" s="58">
        <v>5.2102683212860761</v>
      </c>
      <c r="CH93" s="58">
        <v>0.17873100983020571</v>
      </c>
      <c r="CI93" s="58">
        <v>49.088541666666671</v>
      </c>
      <c r="CJ93" s="58">
        <v>60.204081632653065</v>
      </c>
      <c r="CK93" s="58">
        <v>48.523685509721467</v>
      </c>
      <c r="CL93" s="58">
        <v>31.111111111111111</v>
      </c>
      <c r="CM93" s="58" t="s">
        <v>920</v>
      </c>
      <c r="CN93" s="58">
        <v>88.181818181818187</v>
      </c>
      <c r="CO93" s="58">
        <v>77.933261571582335</v>
      </c>
      <c r="CP93" s="58">
        <v>42.414614758181855</v>
      </c>
      <c r="CQ93" s="58">
        <v>98</v>
      </c>
      <c r="CR93" s="58">
        <v>91</v>
      </c>
      <c r="CS93" s="58">
        <v>77</v>
      </c>
      <c r="CT93" s="58">
        <v>42</v>
      </c>
      <c r="CU93" s="58">
        <v>111</v>
      </c>
      <c r="CV93" s="58">
        <v>60</v>
      </c>
      <c r="CW93" s="58">
        <v>84</v>
      </c>
      <c r="CX93" s="58">
        <v>117</v>
      </c>
      <c r="CY93" s="58">
        <v>109</v>
      </c>
      <c r="CZ93" s="58">
        <v>72</v>
      </c>
      <c r="DA93" s="58">
        <v>66</v>
      </c>
      <c r="DB93" s="58">
        <v>42</v>
      </c>
      <c r="DC93" s="58" t="s">
        <v>920</v>
      </c>
      <c r="DD93" s="58">
        <v>102</v>
      </c>
      <c r="DE93" s="58">
        <v>99</v>
      </c>
      <c r="DF93" s="58">
        <v>48</v>
      </c>
      <c r="DG93" s="58">
        <v>123</v>
      </c>
      <c r="DH93" s="58">
        <v>74</v>
      </c>
      <c r="DI93" s="58" t="s">
        <v>920</v>
      </c>
      <c r="DJ93" s="58">
        <v>87</v>
      </c>
      <c r="DK93" s="58">
        <v>32</v>
      </c>
      <c r="DL93" s="58">
        <v>108</v>
      </c>
      <c r="DM93" s="58">
        <v>112</v>
      </c>
      <c r="DN93" s="58">
        <v>43</v>
      </c>
      <c r="DO93" s="58">
        <v>56</v>
      </c>
      <c r="DP93" s="58">
        <v>23</v>
      </c>
      <c r="DQ93" s="58">
        <v>47</v>
      </c>
      <c r="DR93" s="58">
        <v>100</v>
      </c>
      <c r="DS93" s="58">
        <v>30</v>
      </c>
      <c r="DT93" s="58" t="s">
        <v>920</v>
      </c>
      <c r="DU93" s="58" t="s">
        <v>920</v>
      </c>
      <c r="DV93" s="58">
        <v>65</v>
      </c>
      <c r="DW93" s="58">
        <v>67</v>
      </c>
      <c r="DX93" s="58">
        <v>57</v>
      </c>
      <c r="DY93" s="58">
        <v>107</v>
      </c>
      <c r="DZ93" s="58">
        <v>104</v>
      </c>
      <c r="EA93" s="58">
        <v>42</v>
      </c>
      <c r="EB93" s="58">
        <v>116</v>
      </c>
      <c r="EC93" s="58" t="s">
        <v>920</v>
      </c>
      <c r="ED93" s="58" t="s">
        <v>920</v>
      </c>
      <c r="EE93" s="58" t="s">
        <v>920</v>
      </c>
      <c r="EF93" s="58">
        <v>113</v>
      </c>
      <c r="EG93" s="58">
        <v>38</v>
      </c>
      <c r="EH93" s="58">
        <v>92</v>
      </c>
      <c r="EI93" s="58">
        <v>125</v>
      </c>
      <c r="EJ93" s="58">
        <v>108</v>
      </c>
      <c r="EK93" s="58">
        <v>79</v>
      </c>
      <c r="EL93" s="58">
        <v>102</v>
      </c>
      <c r="EM93" s="58">
        <v>109</v>
      </c>
      <c r="EN93" s="58" t="s">
        <v>920</v>
      </c>
      <c r="EO93" s="58">
        <v>34</v>
      </c>
      <c r="EP93" s="58">
        <v>57</v>
      </c>
      <c r="EQ93" s="58">
        <v>93</v>
      </c>
    </row>
    <row r="94" spans="1:147" x14ac:dyDescent="0.45">
      <c r="A94" t="s">
        <v>24</v>
      </c>
      <c r="B94" s="59" t="s">
        <v>364</v>
      </c>
      <c r="C94" s="37" t="s">
        <v>29</v>
      </c>
      <c r="D94" s="37" t="s">
        <v>882</v>
      </c>
      <c r="E94" s="104">
        <v>21758.838</v>
      </c>
      <c r="F94" s="104">
        <v>114536000</v>
      </c>
      <c r="G94" s="87">
        <v>42.695313169192765</v>
      </c>
      <c r="H94" s="1" t="s">
        <v>216</v>
      </c>
      <c r="I94" s="58">
        <v>88</v>
      </c>
      <c r="J94" s="87">
        <v>39.806509212033099</v>
      </c>
      <c r="K94" s="87">
        <v>34.841060310429206</v>
      </c>
      <c r="L94" s="87">
        <v>48.709739881393034</v>
      </c>
      <c r="M94" s="87">
        <v>47.423943272915722</v>
      </c>
      <c r="N94" s="58">
        <v>79</v>
      </c>
      <c r="O94" s="58">
        <v>87</v>
      </c>
      <c r="P94" s="58">
        <v>98</v>
      </c>
      <c r="Q94" s="58">
        <v>89</v>
      </c>
      <c r="R94" s="58">
        <v>61.722640510664093</v>
      </c>
      <c r="S94" s="58">
        <v>25.896403637943742</v>
      </c>
      <c r="T94" s="58">
        <v>31.800483487491476</v>
      </c>
      <c r="U94" s="58">
        <v>46.666361680484897</v>
      </c>
      <c r="V94" s="58">
        <v>20.368530587173268</v>
      </c>
      <c r="W94" s="58">
        <v>37.488288663629447</v>
      </c>
      <c r="X94" s="58">
        <v>46.671995823025803</v>
      </c>
      <c r="Y94" s="58">
        <v>49.541396739844231</v>
      </c>
      <c r="Z94" s="58">
        <v>49.915827081309061</v>
      </c>
      <c r="AA94" s="58">
        <v>37.935831157123687</v>
      </c>
      <c r="AB94" s="58">
        <v>42.999618376298628</v>
      </c>
      <c r="AC94" s="58">
        <v>61.336380285324843</v>
      </c>
      <c r="AD94" s="58">
        <v>80</v>
      </c>
      <c r="AE94" s="58">
        <v>62</v>
      </c>
      <c r="AF94" s="58">
        <v>74</v>
      </c>
      <c r="AG94" s="58">
        <v>81</v>
      </c>
      <c r="AH94" s="58">
        <v>106</v>
      </c>
      <c r="AI94" s="58">
        <v>72</v>
      </c>
      <c r="AJ94" s="58">
        <v>83</v>
      </c>
      <c r="AK94" s="58">
        <v>100</v>
      </c>
      <c r="AL94" s="58">
        <v>99</v>
      </c>
      <c r="AM94" s="58">
        <v>44</v>
      </c>
      <c r="AN94" s="58">
        <v>112</v>
      </c>
      <c r="AO94" s="58">
        <v>74</v>
      </c>
      <c r="AP94" s="58">
        <v>76.996328529342904</v>
      </c>
      <c r="AQ94" s="58">
        <v>35.937536695727005</v>
      </c>
      <c r="AR94" s="58">
        <v>45.182821035252999</v>
      </c>
      <c r="AS94" s="58">
        <v>98.947368421052616</v>
      </c>
      <c r="AT94" s="58">
        <v>82.861199164469454</v>
      </c>
      <c r="AU94" s="58">
        <v>30.410589218139599</v>
      </c>
      <c r="AV94" s="58">
        <v>3.722838061992932</v>
      </c>
      <c r="AW94" s="58">
        <v>0.48826347408239612</v>
      </c>
      <c r="AX94" s="58">
        <v>59.53567550375648</v>
      </c>
      <c r="AY94" s="58">
        <v>39.838837511943169</v>
      </c>
      <c r="AZ94" s="58">
        <v>62.305727047580028</v>
      </c>
      <c r="BA94" s="58">
        <v>37</v>
      </c>
      <c r="BB94" s="58">
        <v>8.3243653603956261E-2</v>
      </c>
      <c r="BC94" s="58">
        <v>27.812963248781909</v>
      </c>
      <c r="BD94" s="58">
        <v>30.346041405753553</v>
      </c>
      <c r="BE94" s="58">
        <v>48.56071770145509</v>
      </c>
      <c r="BF94" s="58">
        <v>39.3639508533388</v>
      </c>
      <c r="BG94" s="58">
        <v>68.394736761392153</v>
      </c>
      <c r="BH94" s="58" t="s">
        <v>920</v>
      </c>
      <c r="BI94" s="58" t="s">
        <v>920</v>
      </c>
      <c r="BJ94" s="58">
        <v>3.7712837165340725</v>
      </c>
      <c r="BK94" s="58">
        <v>49.100553030336613</v>
      </c>
      <c r="BL94" s="58">
        <v>8.2337550146491232</v>
      </c>
      <c r="BM94" s="58">
        <v>63.927286726579325</v>
      </c>
      <c r="BN94" s="58">
        <v>27.378107225506803</v>
      </c>
      <c r="BO94" s="58">
        <v>42.433117798288237</v>
      </c>
      <c r="BP94" s="58">
        <v>16.214642904143446</v>
      </c>
      <c r="BQ94" s="58">
        <v>34.513677214028867</v>
      </c>
      <c r="BR94" s="58">
        <v>100</v>
      </c>
      <c r="BS94" s="58" t="s">
        <v>920</v>
      </c>
      <c r="BT94" s="58">
        <v>5.5023102550485499</v>
      </c>
      <c r="BU94" s="58">
        <v>25.575591632120993</v>
      </c>
      <c r="BV94" s="58">
        <v>75.62499999984766</v>
      </c>
      <c r="BW94" s="58">
        <v>31.927379209517149</v>
      </c>
      <c r="BX94" s="58">
        <v>100</v>
      </c>
      <c r="BY94" s="58">
        <v>14.579012857735377</v>
      </c>
      <c r="BZ94" s="58">
        <v>56.517139229792633</v>
      </c>
      <c r="CA94" s="58">
        <v>41.417972762384856</v>
      </c>
      <c r="CB94" s="58">
        <v>34.704094228529961</v>
      </c>
      <c r="CC94" s="58">
        <v>67.024102104528794</v>
      </c>
      <c r="CD94" s="58">
        <v>0.12575088528181205</v>
      </c>
      <c r="CE94" s="58">
        <v>73.270754316977687</v>
      </c>
      <c r="CF94" s="58">
        <v>63.938555156121289</v>
      </c>
      <c r="CG94" s="58">
        <v>14.40826427011396</v>
      </c>
      <c r="CH94" s="58">
        <v>12.44414655942807</v>
      </c>
      <c r="CI94" s="58">
        <v>45.442708333333329</v>
      </c>
      <c r="CJ94" s="58">
        <v>88.010204081632651</v>
      </c>
      <c r="CK94" s="58">
        <v>54.21379639063634</v>
      </c>
      <c r="CL94" s="58">
        <v>77.777777777777786</v>
      </c>
      <c r="CM94" s="58" t="s">
        <v>920</v>
      </c>
      <c r="CN94" s="58">
        <v>28.18181818181818</v>
      </c>
      <c r="CO94" s="58">
        <v>84.71474703982777</v>
      </c>
      <c r="CP94" s="58">
        <v>64.447373490879372</v>
      </c>
      <c r="CQ94" s="58">
        <v>44</v>
      </c>
      <c r="CR94" s="58">
        <v>104</v>
      </c>
      <c r="CS94" s="58">
        <v>31</v>
      </c>
      <c r="CT94" s="58">
        <v>43</v>
      </c>
      <c r="CU94" s="58">
        <v>16</v>
      </c>
      <c r="CV94" s="58">
        <v>73</v>
      </c>
      <c r="CW94" s="58">
        <v>86</v>
      </c>
      <c r="CX94" s="58">
        <v>105</v>
      </c>
      <c r="CY94" s="58">
        <v>80</v>
      </c>
      <c r="CZ94" s="58">
        <v>19</v>
      </c>
      <c r="DA94" s="58">
        <v>61</v>
      </c>
      <c r="DB94" s="58">
        <v>72</v>
      </c>
      <c r="DC94" s="58">
        <v>54</v>
      </c>
      <c r="DD94" s="58">
        <v>31</v>
      </c>
      <c r="DE94" s="58">
        <v>36</v>
      </c>
      <c r="DF94" s="58">
        <v>67</v>
      </c>
      <c r="DG94" s="58">
        <v>99</v>
      </c>
      <c r="DH94" s="58">
        <v>72</v>
      </c>
      <c r="DI94" s="58" t="s">
        <v>920</v>
      </c>
      <c r="DJ94" s="58" t="s">
        <v>920</v>
      </c>
      <c r="DK94" s="58">
        <v>71</v>
      </c>
      <c r="DL94" s="58">
        <v>33</v>
      </c>
      <c r="DM94" s="58">
        <v>55</v>
      </c>
      <c r="DN94" s="58">
        <v>77</v>
      </c>
      <c r="DO94" s="58">
        <v>63</v>
      </c>
      <c r="DP94" s="58">
        <v>48</v>
      </c>
      <c r="DQ94" s="58">
        <v>41</v>
      </c>
      <c r="DR94" s="58">
        <v>110</v>
      </c>
      <c r="DS94" s="58">
        <v>1</v>
      </c>
      <c r="DT94" s="58" t="s">
        <v>920</v>
      </c>
      <c r="DU94" s="58">
        <v>109</v>
      </c>
      <c r="DV94" s="58">
        <v>106</v>
      </c>
      <c r="DW94" s="58">
        <v>59</v>
      </c>
      <c r="DX94" s="58">
        <v>84</v>
      </c>
      <c r="DY94" s="58">
        <v>1</v>
      </c>
      <c r="DZ94" s="58">
        <v>123</v>
      </c>
      <c r="EA94" s="58">
        <v>73</v>
      </c>
      <c r="EB94" s="58">
        <v>105</v>
      </c>
      <c r="EC94" s="58">
        <v>97</v>
      </c>
      <c r="ED94" s="58">
        <v>34</v>
      </c>
      <c r="EE94" s="58">
        <v>72</v>
      </c>
      <c r="EF94" s="58">
        <v>17</v>
      </c>
      <c r="EG94" s="58">
        <v>30</v>
      </c>
      <c r="EH94" s="58">
        <v>61</v>
      </c>
      <c r="EI94" s="58">
        <v>118</v>
      </c>
      <c r="EJ94" s="58">
        <v>112</v>
      </c>
      <c r="EK94" s="58">
        <v>15</v>
      </c>
      <c r="EL94" s="58">
        <v>95</v>
      </c>
      <c r="EM94" s="58">
        <v>76</v>
      </c>
      <c r="EN94" s="58" t="s">
        <v>920</v>
      </c>
      <c r="EO94" s="58">
        <v>121</v>
      </c>
      <c r="EP94" s="58">
        <v>34</v>
      </c>
      <c r="EQ94" s="58">
        <v>59</v>
      </c>
    </row>
    <row r="95" spans="1:147" x14ac:dyDescent="0.45">
      <c r="A95" t="s">
        <v>87</v>
      </c>
      <c r="B95" s="59" t="s">
        <v>357</v>
      </c>
      <c r="C95" s="37" t="s">
        <v>10</v>
      </c>
      <c r="D95" s="37" t="s">
        <v>881</v>
      </c>
      <c r="E95" s="104">
        <v>29509.916000000001</v>
      </c>
      <c r="F95" s="104">
        <v>1832000</v>
      </c>
      <c r="G95" s="87">
        <v>42.5753236982126</v>
      </c>
      <c r="H95" s="1" t="s">
        <v>203</v>
      </c>
      <c r="I95" s="58">
        <v>89</v>
      </c>
      <c r="J95" s="87">
        <v>34.763836643037401</v>
      </c>
      <c r="K95" s="87">
        <v>27.152350115743115</v>
      </c>
      <c r="L95" s="87">
        <v>60.96525972836389</v>
      </c>
      <c r="M95" s="87">
        <v>47.419848305706005</v>
      </c>
      <c r="N95" s="58">
        <v>89</v>
      </c>
      <c r="O95" s="58">
        <v>110</v>
      </c>
      <c r="P95" s="58">
        <v>64</v>
      </c>
      <c r="Q95" s="58">
        <v>90</v>
      </c>
      <c r="R95" s="58">
        <v>64.366236166891042</v>
      </c>
      <c r="S95" s="58">
        <v>21.26180356105894</v>
      </c>
      <c r="T95" s="58">
        <v>18.663470201162209</v>
      </c>
      <c r="U95" s="58">
        <v>29.778082885842409</v>
      </c>
      <c r="V95" s="58">
        <v>16.279728059682665</v>
      </c>
      <c r="W95" s="58">
        <v>35.399239401704264</v>
      </c>
      <c r="X95" s="58">
        <v>51.593300150857331</v>
      </c>
      <c r="Y95" s="58">
        <v>67.10466102333092</v>
      </c>
      <c r="Z95" s="58">
        <v>64.197818010903418</v>
      </c>
      <c r="AA95" s="58">
        <v>24.320174825185092</v>
      </c>
      <c r="AB95" s="58">
        <v>57.263319212935549</v>
      </c>
      <c r="AC95" s="58">
        <v>60.676050878997351</v>
      </c>
      <c r="AD95" s="58">
        <v>76</v>
      </c>
      <c r="AE95" s="58">
        <v>75</v>
      </c>
      <c r="AF95" s="58">
        <v>111</v>
      </c>
      <c r="AG95" s="58">
        <v>114</v>
      </c>
      <c r="AH95" s="58">
        <v>119</v>
      </c>
      <c r="AI95" s="58">
        <v>79</v>
      </c>
      <c r="AJ95" s="58">
        <v>68</v>
      </c>
      <c r="AK95" s="58">
        <v>49</v>
      </c>
      <c r="AL95" s="58">
        <v>63</v>
      </c>
      <c r="AM95" s="58">
        <v>98</v>
      </c>
      <c r="AN95" s="58">
        <v>88</v>
      </c>
      <c r="AO95" s="58">
        <v>76</v>
      </c>
      <c r="AP95" s="58">
        <v>52.069593396489303</v>
      </c>
      <c r="AQ95" s="58">
        <v>96.210355149357866</v>
      </c>
      <c r="AR95" s="58">
        <v>19.717288011939207</v>
      </c>
      <c r="AS95" s="58">
        <v>99.315789473684234</v>
      </c>
      <c r="AT95" s="58">
        <v>54.518154802984633</v>
      </c>
      <c r="AU95" s="58" t="s">
        <v>920</v>
      </c>
      <c r="AV95" s="58">
        <v>12.173781062337948</v>
      </c>
      <c r="AW95" s="58">
        <v>8.6359095354055135</v>
      </c>
      <c r="AX95" s="58">
        <v>62.578421489609767</v>
      </c>
      <c r="AY95" s="58">
        <v>1.6591021568825397</v>
      </c>
      <c r="AZ95" s="58">
        <v>28.948927393593461</v>
      </c>
      <c r="BA95" s="58">
        <v>17.500000000000004</v>
      </c>
      <c r="BB95" s="58" t="s">
        <v>920</v>
      </c>
      <c r="BC95" s="58">
        <v>9.5414832098931672</v>
      </c>
      <c r="BD95" s="58">
        <v>3.8656112874197976</v>
      </c>
      <c r="BE95" s="58">
        <v>26.482335062588884</v>
      </c>
      <c r="BF95" s="58">
        <v>58.986302307518542</v>
      </c>
      <c r="BG95" s="58" t="s">
        <v>920</v>
      </c>
      <c r="BH95" s="58" t="s">
        <v>920</v>
      </c>
      <c r="BI95" s="58" t="s">
        <v>920</v>
      </c>
      <c r="BJ95" s="58">
        <v>17.419501234828054</v>
      </c>
      <c r="BK95" s="58">
        <v>28.859241672769965</v>
      </c>
      <c r="BL95" s="58">
        <v>2.5604412714499798</v>
      </c>
      <c r="BM95" s="58">
        <v>59.595048182769695</v>
      </c>
      <c r="BN95" s="58" t="s">
        <v>920</v>
      </c>
      <c r="BO95" s="58">
        <v>40.45900703680617</v>
      </c>
      <c r="BP95" s="58">
        <v>6.1436629855369222</v>
      </c>
      <c r="BQ95" s="58">
        <v>61.598652514175981</v>
      </c>
      <c r="BR95" s="58">
        <v>59.012883964100517</v>
      </c>
      <c r="BS95" s="58">
        <v>53.958658947649653</v>
      </c>
      <c r="BT95" s="58">
        <v>31.803005177503174</v>
      </c>
      <c r="BU95" s="58">
        <v>52.922383483612343</v>
      </c>
      <c r="BV95" s="58">
        <v>74.687499999841805</v>
      </c>
      <c r="BW95" s="58">
        <v>29.833786626978892</v>
      </c>
      <c r="BX95" s="58">
        <v>100</v>
      </c>
      <c r="BY95" s="58">
        <v>78.07963500622148</v>
      </c>
      <c r="BZ95" s="58">
        <v>55.067710537452399</v>
      </c>
      <c r="CA95" s="58">
        <v>74.491213146846306</v>
      </c>
      <c r="CB95" s="58">
        <v>58.308829297110421</v>
      </c>
      <c r="CC95" s="58">
        <v>68.923519062204548</v>
      </c>
      <c r="CD95" s="58">
        <v>0</v>
      </c>
      <c r="CE95" s="58">
        <v>36.07040162799283</v>
      </c>
      <c r="CF95" s="58">
        <v>23.777210363688582</v>
      </c>
      <c r="CG95" s="58">
        <v>37.433087309058962</v>
      </c>
      <c r="CH95" s="58">
        <v>50.111706881143888</v>
      </c>
      <c r="CI95" s="58">
        <v>51.171875</v>
      </c>
      <c r="CJ95" s="58">
        <v>75.255102040816325</v>
      </c>
      <c r="CK95" s="58">
        <v>65.757649474509194</v>
      </c>
      <c r="CL95" s="58">
        <v>86.666666666666671</v>
      </c>
      <c r="CM95" s="58">
        <v>15.816683258432368</v>
      </c>
      <c r="CN95" s="58">
        <v>78.181818181818187</v>
      </c>
      <c r="CO95" s="58">
        <v>80.409041980624323</v>
      </c>
      <c r="CP95" s="58">
        <v>49.926653523562358</v>
      </c>
      <c r="CQ95" s="58">
        <v>92</v>
      </c>
      <c r="CR95" s="58">
        <v>14</v>
      </c>
      <c r="CS95" s="58">
        <v>93</v>
      </c>
      <c r="CT95" s="58">
        <v>39</v>
      </c>
      <c r="CU95" s="58">
        <v>122</v>
      </c>
      <c r="CV95" s="58" t="s">
        <v>920</v>
      </c>
      <c r="CW95" s="58">
        <v>54</v>
      </c>
      <c r="CX95" s="58">
        <v>49</v>
      </c>
      <c r="CY95" s="58">
        <v>70</v>
      </c>
      <c r="CZ95" s="58">
        <v>88</v>
      </c>
      <c r="DA95" s="58">
        <v>101</v>
      </c>
      <c r="DB95" s="58">
        <v>120</v>
      </c>
      <c r="DC95" s="58" t="s">
        <v>920</v>
      </c>
      <c r="DD95" s="58">
        <v>82</v>
      </c>
      <c r="DE95" s="58">
        <v>102</v>
      </c>
      <c r="DF95" s="58">
        <v>103</v>
      </c>
      <c r="DG95" s="58">
        <v>78</v>
      </c>
      <c r="DH95" s="58" t="s">
        <v>920</v>
      </c>
      <c r="DI95" s="58" t="s">
        <v>920</v>
      </c>
      <c r="DJ95" s="58" t="s">
        <v>920</v>
      </c>
      <c r="DK95" s="58">
        <v>33</v>
      </c>
      <c r="DL95" s="58">
        <v>111</v>
      </c>
      <c r="DM95" s="58">
        <v>76</v>
      </c>
      <c r="DN95" s="58">
        <v>80</v>
      </c>
      <c r="DO95" s="58" t="s">
        <v>920</v>
      </c>
      <c r="DP95" s="58">
        <v>52</v>
      </c>
      <c r="DQ95" s="58">
        <v>65</v>
      </c>
      <c r="DR95" s="58">
        <v>65</v>
      </c>
      <c r="DS95" s="58">
        <v>98</v>
      </c>
      <c r="DT95" s="58">
        <v>23</v>
      </c>
      <c r="DU95" s="58">
        <v>57</v>
      </c>
      <c r="DV95" s="58">
        <v>50</v>
      </c>
      <c r="DW95" s="58">
        <v>61</v>
      </c>
      <c r="DX95" s="58">
        <v>89</v>
      </c>
      <c r="DY95" s="58">
        <v>1</v>
      </c>
      <c r="DZ95" s="58">
        <v>32</v>
      </c>
      <c r="EA95" s="58">
        <v>75</v>
      </c>
      <c r="EB95" s="58">
        <v>60</v>
      </c>
      <c r="EC95" s="58">
        <v>80</v>
      </c>
      <c r="ED95" s="58">
        <v>32</v>
      </c>
      <c r="EE95" s="58">
        <v>81</v>
      </c>
      <c r="EF95" s="58">
        <v>115</v>
      </c>
      <c r="EG95" s="58">
        <v>88</v>
      </c>
      <c r="EH95" s="58">
        <v>22</v>
      </c>
      <c r="EI95" s="58">
        <v>82</v>
      </c>
      <c r="EJ95" s="58">
        <v>106</v>
      </c>
      <c r="EK95" s="58">
        <v>44</v>
      </c>
      <c r="EL95" s="58">
        <v>68</v>
      </c>
      <c r="EM95" s="58">
        <v>63</v>
      </c>
      <c r="EN95" s="58">
        <v>70</v>
      </c>
      <c r="EO95" s="58">
        <v>62</v>
      </c>
      <c r="EP95" s="58">
        <v>45</v>
      </c>
      <c r="EQ95" s="58">
        <v>80</v>
      </c>
    </row>
    <row r="96" spans="1:147" x14ac:dyDescent="0.45">
      <c r="A96" t="s">
        <v>109</v>
      </c>
      <c r="B96" s="59" t="s">
        <v>383</v>
      </c>
      <c r="C96" s="37" t="s">
        <v>34</v>
      </c>
      <c r="D96" s="37" t="s">
        <v>882</v>
      </c>
      <c r="E96" s="104">
        <v>8870.3700000000008</v>
      </c>
      <c r="F96" s="104">
        <v>7074000</v>
      </c>
      <c r="G96" s="87">
        <v>42.438895311128327</v>
      </c>
      <c r="H96" s="1" t="s">
        <v>231</v>
      </c>
      <c r="I96" s="58">
        <v>90</v>
      </c>
      <c r="J96" s="87">
        <v>31.366456132588677</v>
      </c>
      <c r="K96" s="87">
        <v>32.217894932872817</v>
      </c>
      <c r="L96" s="87">
        <v>50.981620652854566</v>
      </c>
      <c r="M96" s="87">
        <v>55.189609526197252</v>
      </c>
      <c r="N96" s="58">
        <v>98</v>
      </c>
      <c r="O96" s="58">
        <v>94</v>
      </c>
      <c r="P96" s="58">
        <v>90</v>
      </c>
      <c r="Q96" s="58">
        <v>54</v>
      </c>
      <c r="R96" s="58">
        <v>56.175171861511615</v>
      </c>
      <c r="S96" s="58">
        <v>18.081600992636815</v>
      </c>
      <c r="T96" s="58">
        <v>19.842595543617584</v>
      </c>
      <c r="U96" s="58">
        <v>49.812292248652753</v>
      </c>
      <c r="V96" s="58">
        <v>18.466075678440856</v>
      </c>
      <c r="W96" s="58">
        <v>28.375316871524841</v>
      </c>
      <c r="X96" s="58">
        <v>44.438810851702947</v>
      </c>
      <c r="Y96" s="58">
        <v>43.651449201108129</v>
      </c>
      <c r="Z96" s="58">
        <v>64.854601905752645</v>
      </c>
      <c r="AA96" s="58">
        <v>22.741725589704611</v>
      </c>
      <c r="AB96" s="58">
        <v>77.350687812410271</v>
      </c>
      <c r="AC96" s="58">
        <v>65.476415176476863</v>
      </c>
      <c r="AD96" s="58">
        <v>94</v>
      </c>
      <c r="AE96" s="58">
        <v>89</v>
      </c>
      <c r="AF96" s="58">
        <v>109</v>
      </c>
      <c r="AG96" s="58">
        <v>71</v>
      </c>
      <c r="AH96" s="58">
        <v>114</v>
      </c>
      <c r="AI96" s="58">
        <v>97</v>
      </c>
      <c r="AJ96" s="58">
        <v>88</v>
      </c>
      <c r="AK96" s="58">
        <v>108</v>
      </c>
      <c r="AL96" s="58">
        <v>62</v>
      </c>
      <c r="AM96" s="58">
        <v>106</v>
      </c>
      <c r="AN96" s="58">
        <v>26</v>
      </c>
      <c r="AO96" s="58">
        <v>60</v>
      </c>
      <c r="AP96" s="58">
        <v>54.708087191920399</v>
      </c>
      <c r="AQ96" s="58">
        <v>31.692108508040619</v>
      </c>
      <c r="AR96" s="58">
        <v>40.072952994004773</v>
      </c>
      <c r="AS96" s="58">
        <v>97.894736842105232</v>
      </c>
      <c r="AT96" s="58">
        <v>71.314630427274125</v>
      </c>
      <c r="AU96" s="58">
        <v>41.368515205724499</v>
      </c>
      <c r="AV96" s="58">
        <v>5.7565187517685414</v>
      </c>
      <c r="AW96" s="58">
        <v>0.64946901008585556</v>
      </c>
      <c r="AX96" s="58">
        <v>63.17612354143963</v>
      </c>
      <c r="AY96" s="58">
        <v>2.7442926672532311</v>
      </c>
      <c r="AZ96" s="58">
        <v>36.25627062649324</v>
      </c>
      <c r="BA96" s="58">
        <v>19.25</v>
      </c>
      <c r="BB96" s="58" t="s">
        <v>920</v>
      </c>
      <c r="BC96" s="58">
        <v>4.0215160043595146</v>
      </c>
      <c r="BD96" s="58">
        <v>19.112023135100728</v>
      </c>
      <c r="BE96" s="58">
        <v>40.211341217366943</v>
      </c>
      <c r="BF96" s="58">
        <v>40.514112334451021</v>
      </c>
      <c r="BG96" s="58">
        <v>99.411692307692306</v>
      </c>
      <c r="BH96" s="58" t="s">
        <v>920</v>
      </c>
      <c r="BI96" s="58" t="s">
        <v>920</v>
      </c>
      <c r="BJ96" s="58" t="s">
        <v>920</v>
      </c>
      <c r="BK96" s="58">
        <v>36.77551698572104</v>
      </c>
      <c r="BL96" s="58">
        <v>0.15663437116066797</v>
      </c>
      <c r="BM96" s="58">
        <v>52.747199865256675</v>
      </c>
      <c r="BN96" s="58">
        <v>19.112649333587804</v>
      </c>
      <c r="BO96" s="58">
        <v>40.801209599695596</v>
      </c>
      <c r="BP96" s="58">
        <v>0.84020868755930311</v>
      </c>
      <c r="BQ96" s="58">
        <v>57.700620729707964</v>
      </c>
      <c r="BR96" s="58">
        <v>58.673145699068087</v>
      </c>
      <c r="BS96" s="58">
        <v>40.249183737363026</v>
      </c>
      <c r="BT96" s="58">
        <v>21.132293240672713</v>
      </c>
      <c r="BU96" s="58">
        <v>26.795189356823713</v>
      </c>
      <c r="BV96" s="58">
        <v>39.999999999624997</v>
      </c>
      <c r="BW96" s="58">
        <v>26.814607457884975</v>
      </c>
      <c r="BX96" s="58">
        <v>75</v>
      </c>
      <c r="BY96" s="58">
        <v>49.647449191206974</v>
      </c>
      <c r="BZ96" s="58">
        <v>43.48286077020736</v>
      </c>
      <c r="CA96" s="58">
        <v>75.236087870438752</v>
      </c>
      <c r="CB96" s="58" t="s">
        <v>920</v>
      </c>
      <c r="CC96" s="58">
        <v>75.844857076611802</v>
      </c>
      <c r="CD96" s="58" t="s">
        <v>920</v>
      </c>
      <c r="CE96" s="58">
        <v>37.219711429009131</v>
      </c>
      <c r="CF96" s="58">
        <v>27.114257488866521</v>
      </c>
      <c r="CG96" s="58">
        <v>3.8912078512381711</v>
      </c>
      <c r="CH96" s="58">
        <v>58.042895442359246</v>
      </c>
      <c r="CI96" s="58">
        <v>95.963541666666657</v>
      </c>
      <c r="CJ96" s="58">
        <v>91.326530612244909</v>
      </c>
      <c r="CK96" s="58">
        <v>64.764722044164827</v>
      </c>
      <c r="CL96" s="58">
        <v>75.555555555555557</v>
      </c>
      <c r="CM96" s="58" t="s">
        <v>920</v>
      </c>
      <c r="CN96" s="58">
        <v>66.363636363636374</v>
      </c>
      <c r="CO96" s="58">
        <v>62.109795479009676</v>
      </c>
      <c r="CP96" s="58">
        <v>60.356071818013554</v>
      </c>
      <c r="CQ96" s="58">
        <v>88</v>
      </c>
      <c r="CR96" s="58">
        <v>114</v>
      </c>
      <c r="CS96" s="58">
        <v>42</v>
      </c>
      <c r="CT96" s="58">
        <v>54</v>
      </c>
      <c r="CU96" s="58">
        <v>65</v>
      </c>
      <c r="CV96" s="58">
        <v>67</v>
      </c>
      <c r="CW96" s="58">
        <v>69</v>
      </c>
      <c r="CX96" s="58">
        <v>102</v>
      </c>
      <c r="CY96" s="58">
        <v>68</v>
      </c>
      <c r="CZ96" s="58">
        <v>79</v>
      </c>
      <c r="DA96" s="58">
        <v>96</v>
      </c>
      <c r="DB96" s="58">
        <v>117</v>
      </c>
      <c r="DC96" s="58" t="s">
        <v>920</v>
      </c>
      <c r="DD96" s="58">
        <v>101</v>
      </c>
      <c r="DE96" s="58">
        <v>53</v>
      </c>
      <c r="DF96" s="58">
        <v>83</v>
      </c>
      <c r="DG96" s="58">
        <v>96</v>
      </c>
      <c r="DH96" s="58">
        <v>12</v>
      </c>
      <c r="DI96" s="58" t="s">
        <v>920</v>
      </c>
      <c r="DJ96" s="58" t="s">
        <v>920</v>
      </c>
      <c r="DK96" s="58" t="s">
        <v>920</v>
      </c>
      <c r="DL96" s="58">
        <v>83</v>
      </c>
      <c r="DM96" s="58">
        <v>118</v>
      </c>
      <c r="DN96" s="58">
        <v>87</v>
      </c>
      <c r="DO96" s="58">
        <v>75</v>
      </c>
      <c r="DP96" s="58">
        <v>51</v>
      </c>
      <c r="DQ96" s="58">
        <v>102</v>
      </c>
      <c r="DR96" s="58">
        <v>70</v>
      </c>
      <c r="DS96" s="58">
        <v>100</v>
      </c>
      <c r="DT96" s="58">
        <v>31</v>
      </c>
      <c r="DU96" s="58">
        <v>70</v>
      </c>
      <c r="DV96" s="58">
        <v>103</v>
      </c>
      <c r="DW96" s="58">
        <v>112</v>
      </c>
      <c r="DX96" s="58">
        <v>91</v>
      </c>
      <c r="DY96" s="58">
        <v>72</v>
      </c>
      <c r="DZ96" s="58">
        <v>88</v>
      </c>
      <c r="EA96" s="58">
        <v>88</v>
      </c>
      <c r="EB96" s="58">
        <v>59</v>
      </c>
      <c r="EC96" s="58" t="s">
        <v>920</v>
      </c>
      <c r="ED96" s="58">
        <v>20</v>
      </c>
      <c r="EE96" s="58" t="s">
        <v>920</v>
      </c>
      <c r="EF96" s="58">
        <v>111</v>
      </c>
      <c r="EG96" s="58">
        <v>82</v>
      </c>
      <c r="EH96" s="58">
        <v>100</v>
      </c>
      <c r="EI96" s="58">
        <v>73</v>
      </c>
      <c r="EJ96" s="58">
        <v>5</v>
      </c>
      <c r="EK96" s="58">
        <v>12</v>
      </c>
      <c r="EL96" s="58">
        <v>72</v>
      </c>
      <c r="EM96" s="58">
        <v>79</v>
      </c>
      <c r="EN96" s="58" t="s">
        <v>920</v>
      </c>
      <c r="EO96" s="58">
        <v>95</v>
      </c>
      <c r="EP96" s="58">
        <v>98</v>
      </c>
      <c r="EQ96" s="58">
        <v>69</v>
      </c>
    </row>
    <row r="97" spans="1:147" x14ac:dyDescent="0.45">
      <c r="A97" t="s">
        <v>108</v>
      </c>
      <c r="B97" s="59" t="s">
        <v>386</v>
      </c>
      <c r="C97" s="37" t="s">
        <v>25</v>
      </c>
      <c r="D97" s="37" t="s">
        <v>881</v>
      </c>
      <c r="E97" s="104">
        <v>12335.268</v>
      </c>
      <c r="F97" s="104">
        <v>522000</v>
      </c>
      <c r="G97" s="87">
        <v>41.98946953074055</v>
      </c>
      <c r="H97" s="1" t="s">
        <v>230</v>
      </c>
      <c r="I97" s="58">
        <v>91</v>
      </c>
      <c r="J97" s="87">
        <v>25.083007819095155</v>
      </c>
      <c r="K97" s="87">
        <v>41.561462420192164</v>
      </c>
      <c r="L97" s="87">
        <v>51.497763932779542</v>
      </c>
      <c r="M97" s="87">
        <v>49.815643950895343</v>
      </c>
      <c r="N97" s="58">
        <v>113</v>
      </c>
      <c r="O97" s="58">
        <v>64</v>
      </c>
      <c r="P97" s="58">
        <v>88</v>
      </c>
      <c r="Q97" s="58">
        <v>83</v>
      </c>
      <c r="R97" s="58">
        <v>46.27171308827775</v>
      </c>
      <c r="S97" s="58">
        <v>2.8309430472943098</v>
      </c>
      <c r="T97" s="58">
        <v>26.146367321713392</v>
      </c>
      <c r="U97" s="58">
        <v>46.789402224788638</v>
      </c>
      <c r="V97" s="58">
        <v>23.984402003771397</v>
      </c>
      <c r="W97" s="58">
        <v>53.910583032016461</v>
      </c>
      <c r="X97" s="58">
        <v>48.044159882297251</v>
      </c>
      <c r="Y97" s="58">
        <v>49.310503613528965</v>
      </c>
      <c r="Z97" s="58">
        <v>57.138628302512402</v>
      </c>
      <c r="AA97" s="58">
        <v>14.394077602132763</v>
      </c>
      <c r="AB97" s="58">
        <v>59.246635402540804</v>
      </c>
      <c r="AC97" s="58">
        <v>75.806218848012435</v>
      </c>
      <c r="AD97" s="58">
        <v>108</v>
      </c>
      <c r="AE97" s="58">
        <v>120</v>
      </c>
      <c r="AF97" s="58">
        <v>95</v>
      </c>
      <c r="AG97" s="58">
        <v>80</v>
      </c>
      <c r="AH97" s="58">
        <v>90</v>
      </c>
      <c r="AI97" s="58">
        <v>28</v>
      </c>
      <c r="AJ97" s="58">
        <v>77</v>
      </c>
      <c r="AK97" s="58">
        <v>102</v>
      </c>
      <c r="AL97" s="58">
        <v>79</v>
      </c>
      <c r="AM97" s="58">
        <v>124</v>
      </c>
      <c r="AN97" s="58">
        <v>83</v>
      </c>
      <c r="AO97" s="58">
        <v>39</v>
      </c>
      <c r="AP97" s="58">
        <v>43.942408587952499</v>
      </c>
      <c r="AQ97" s="58">
        <v>66.040067529406159</v>
      </c>
      <c r="AR97" s="58">
        <v>6.1061802381947219</v>
      </c>
      <c r="AS97" s="58">
        <v>75.052631578947398</v>
      </c>
      <c r="AT97" s="58">
        <v>54.346130182568153</v>
      </c>
      <c r="AU97" s="58">
        <v>32.142860412597599</v>
      </c>
      <c r="AV97" s="58">
        <v>5.9073216489338876</v>
      </c>
      <c r="AW97" s="58">
        <v>2.5855074929490414</v>
      </c>
      <c r="AX97" s="58" t="s">
        <v>920</v>
      </c>
      <c r="AY97" s="58">
        <v>0</v>
      </c>
      <c r="AZ97" s="58" t="s">
        <v>920</v>
      </c>
      <c r="BA97" s="58">
        <v>34</v>
      </c>
      <c r="BB97" s="58" t="s">
        <v>920</v>
      </c>
      <c r="BC97" s="58">
        <v>18.292734643426787</v>
      </c>
      <c r="BD97" s="58">
        <v>0.5030501909077072</v>
      </c>
      <c r="BE97" s="58">
        <v>54.539797729946912</v>
      </c>
      <c r="BF97" s="58">
        <v>52.114760978299927</v>
      </c>
      <c r="BG97" s="58">
        <v>80</v>
      </c>
      <c r="BH97" s="58" t="s">
        <v>920</v>
      </c>
      <c r="BI97" s="58">
        <v>47.742680592372992</v>
      </c>
      <c r="BJ97" s="58" t="s">
        <v>920</v>
      </c>
      <c r="BK97" s="58">
        <v>24.198969126118779</v>
      </c>
      <c r="BL97" s="58">
        <v>1.1556292822424805E-2</v>
      </c>
      <c r="BM97" s="58">
        <v>62.605117840256973</v>
      </c>
      <c r="BN97" s="58" t="s">
        <v>920</v>
      </c>
      <c r="BO97" s="58">
        <v>45.216048223775942</v>
      </c>
      <c r="BP97" s="58" t="s">
        <v>920</v>
      </c>
      <c r="BQ97" s="58">
        <v>54.308862893375384</v>
      </c>
      <c r="BR97" s="58">
        <v>41.779456871219111</v>
      </c>
      <c r="BS97" s="58" t="s">
        <v>920</v>
      </c>
      <c r="BT97" s="58" t="s">
        <v>920</v>
      </c>
      <c r="BU97" s="58">
        <v>48.306924076788839</v>
      </c>
      <c r="BV97" s="58">
        <v>51.249999999695305</v>
      </c>
      <c r="BW97" s="58">
        <v>30.798995069551417</v>
      </c>
      <c r="BX97" s="58">
        <v>50</v>
      </c>
      <c r="BY97" s="58">
        <v>66.196598921609294</v>
      </c>
      <c r="BZ97" s="58">
        <v>52.168853152771902</v>
      </c>
      <c r="CA97" s="58" t="s">
        <v>920</v>
      </c>
      <c r="CB97" s="58">
        <v>62.108403452252894</v>
      </c>
      <c r="CC97" s="58" t="s">
        <v>920</v>
      </c>
      <c r="CD97" s="58" t="s">
        <v>920</v>
      </c>
      <c r="CE97" s="58">
        <v>0</v>
      </c>
      <c r="CF97" s="58">
        <v>36.48974078153752</v>
      </c>
      <c r="CG97" s="58">
        <v>6.6924920248607691</v>
      </c>
      <c r="CH97" s="58" t="s">
        <v>920</v>
      </c>
      <c r="CI97" s="58" t="s">
        <v>920</v>
      </c>
      <c r="CJ97" s="58">
        <v>52.551020408163275</v>
      </c>
      <c r="CK97" s="58">
        <v>65.94225039691834</v>
      </c>
      <c r="CL97" s="58">
        <v>80</v>
      </c>
      <c r="CM97" s="58" t="s">
        <v>920</v>
      </c>
      <c r="CN97" s="58">
        <v>80</v>
      </c>
      <c r="CO97" s="58">
        <v>86.329386437029058</v>
      </c>
      <c r="CP97" s="58">
        <v>42.178540214016479</v>
      </c>
      <c r="CQ97" s="58">
        <v>107</v>
      </c>
      <c r="CR97" s="58">
        <v>61</v>
      </c>
      <c r="CS97" s="58">
        <v>117</v>
      </c>
      <c r="CT97" s="58">
        <v>99</v>
      </c>
      <c r="CU97" s="58">
        <v>123</v>
      </c>
      <c r="CV97" s="58">
        <v>71</v>
      </c>
      <c r="CW97" s="58">
        <v>68</v>
      </c>
      <c r="CX97" s="58">
        <v>75</v>
      </c>
      <c r="CY97" s="58" t="s">
        <v>920</v>
      </c>
      <c r="CZ97" s="58">
        <v>124</v>
      </c>
      <c r="DA97" s="58" t="s">
        <v>920</v>
      </c>
      <c r="DB97" s="58">
        <v>82</v>
      </c>
      <c r="DC97" s="58" t="s">
        <v>920</v>
      </c>
      <c r="DD97" s="58">
        <v>60</v>
      </c>
      <c r="DE97" s="58">
        <v>120</v>
      </c>
      <c r="DF97" s="58">
        <v>58</v>
      </c>
      <c r="DG97" s="58">
        <v>89</v>
      </c>
      <c r="DH97" s="58">
        <v>65</v>
      </c>
      <c r="DI97" s="58" t="s">
        <v>920</v>
      </c>
      <c r="DJ97" s="58">
        <v>69</v>
      </c>
      <c r="DK97" s="58" t="s">
        <v>920</v>
      </c>
      <c r="DL97" s="58">
        <v>114</v>
      </c>
      <c r="DM97" s="58">
        <v>120</v>
      </c>
      <c r="DN97" s="58">
        <v>78</v>
      </c>
      <c r="DO97" s="58" t="s">
        <v>920</v>
      </c>
      <c r="DP97" s="58">
        <v>44</v>
      </c>
      <c r="DQ97" s="58" t="s">
        <v>920</v>
      </c>
      <c r="DR97" s="58">
        <v>75</v>
      </c>
      <c r="DS97" s="58">
        <v>109</v>
      </c>
      <c r="DT97" s="58" t="s">
        <v>920</v>
      </c>
      <c r="DU97" s="58" t="s">
        <v>920</v>
      </c>
      <c r="DV97" s="58">
        <v>58</v>
      </c>
      <c r="DW97" s="58">
        <v>95</v>
      </c>
      <c r="DX97" s="58">
        <v>86</v>
      </c>
      <c r="DY97" s="58">
        <v>107</v>
      </c>
      <c r="DZ97" s="58">
        <v>56</v>
      </c>
      <c r="EA97" s="58">
        <v>77</v>
      </c>
      <c r="EB97" s="58" t="s">
        <v>920</v>
      </c>
      <c r="EC97" s="58">
        <v>71</v>
      </c>
      <c r="ED97" s="58" t="s">
        <v>920</v>
      </c>
      <c r="EE97" s="58" t="s">
        <v>920</v>
      </c>
      <c r="EF97" s="58">
        <v>127</v>
      </c>
      <c r="EG97" s="58">
        <v>68</v>
      </c>
      <c r="EH97" s="58">
        <v>86</v>
      </c>
      <c r="EI97" s="58" t="s">
        <v>920</v>
      </c>
      <c r="EJ97" s="58" t="s">
        <v>920</v>
      </c>
      <c r="EK97" s="58">
        <v>90</v>
      </c>
      <c r="EL97" s="58">
        <v>66</v>
      </c>
      <c r="EM97" s="58">
        <v>72</v>
      </c>
      <c r="EN97" s="58" t="s">
        <v>920</v>
      </c>
      <c r="EO97" s="58">
        <v>58</v>
      </c>
      <c r="EP97" s="58">
        <v>25</v>
      </c>
      <c r="EQ97" s="58">
        <v>94</v>
      </c>
    </row>
    <row r="98" spans="1:147" x14ac:dyDescent="0.45">
      <c r="A98" t="s">
        <v>103</v>
      </c>
      <c r="B98" s="59" t="s">
        <v>378</v>
      </c>
      <c r="C98" s="37" t="s">
        <v>10</v>
      </c>
      <c r="D98" s="37" t="s">
        <v>881</v>
      </c>
      <c r="E98" s="104">
        <v>22829.684000000001</v>
      </c>
      <c r="F98" s="104">
        <v>3185000</v>
      </c>
      <c r="G98" s="87">
        <v>40.671851912681234</v>
      </c>
      <c r="H98" s="1" t="s">
        <v>225</v>
      </c>
      <c r="I98" s="58">
        <v>92</v>
      </c>
      <c r="J98" s="87">
        <v>29.443359973962526</v>
      </c>
      <c r="K98" s="87">
        <v>36.659775546168966</v>
      </c>
      <c r="L98" s="87">
        <v>51.327499474801549</v>
      </c>
      <c r="M98" s="87">
        <v>45.256772655791906</v>
      </c>
      <c r="N98" s="58">
        <v>105</v>
      </c>
      <c r="O98" s="58">
        <v>81</v>
      </c>
      <c r="P98" s="58">
        <v>89</v>
      </c>
      <c r="Q98" s="58">
        <v>96</v>
      </c>
      <c r="R98" s="58">
        <v>55.623034006741364</v>
      </c>
      <c r="S98" s="58">
        <v>15.322368297575716</v>
      </c>
      <c r="T98" s="58">
        <v>17.384677617570485</v>
      </c>
      <c r="U98" s="58">
        <v>49.112695833672632</v>
      </c>
      <c r="V98" s="58">
        <v>42.326245097601188</v>
      </c>
      <c r="W98" s="58">
        <v>18.540385707233067</v>
      </c>
      <c r="X98" s="58">
        <v>37.837384874011853</v>
      </c>
      <c r="Y98" s="58">
        <v>52.387672374727934</v>
      </c>
      <c r="Z98" s="58">
        <v>63.757441175664844</v>
      </c>
      <c r="AA98" s="58">
        <v>17.644095711287981</v>
      </c>
      <c r="AB98" s="58">
        <v>66.03300658646468</v>
      </c>
      <c r="AC98" s="58">
        <v>52.093215669623056</v>
      </c>
      <c r="AD98" s="58">
        <v>98</v>
      </c>
      <c r="AE98" s="58">
        <v>100</v>
      </c>
      <c r="AF98" s="58">
        <v>115</v>
      </c>
      <c r="AG98" s="58">
        <v>74</v>
      </c>
      <c r="AH98" s="58">
        <v>37</v>
      </c>
      <c r="AI98" s="58">
        <v>116</v>
      </c>
      <c r="AJ98" s="58">
        <v>103</v>
      </c>
      <c r="AK98" s="58">
        <v>87</v>
      </c>
      <c r="AL98" s="58">
        <v>66</v>
      </c>
      <c r="AM98" s="58">
        <v>118</v>
      </c>
      <c r="AN98" s="58">
        <v>66</v>
      </c>
      <c r="AO98" s="58">
        <v>98</v>
      </c>
      <c r="AP98" s="58">
        <v>55.280181037922901</v>
      </c>
      <c r="AQ98" s="58">
        <v>53.060123837273999</v>
      </c>
      <c r="AR98" s="58">
        <v>18.448567802343767</v>
      </c>
      <c r="AS98" s="58">
        <v>89.473684210526315</v>
      </c>
      <c r="AT98" s="58">
        <v>61.852613145639864</v>
      </c>
      <c r="AU98" s="58" t="s">
        <v>920</v>
      </c>
      <c r="AV98" s="58">
        <v>8.5901259225567816</v>
      </c>
      <c r="AW98" s="58">
        <v>3.9030557973520703</v>
      </c>
      <c r="AX98" s="58">
        <v>47.026889194351725</v>
      </c>
      <c r="AY98" s="58">
        <v>1.7694022760422867</v>
      </c>
      <c r="AZ98" s="58">
        <v>46.05783067669276</v>
      </c>
      <c r="BA98" s="58">
        <v>17.000000000000004</v>
      </c>
      <c r="BB98" s="58">
        <v>0.41852015699998707</v>
      </c>
      <c r="BC98" s="58">
        <v>6.0623596365891954</v>
      </c>
      <c r="BD98" s="58">
        <v>3.4296138017016982</v>
      </c>
      <c r="BE98" s="58">
        <v>29.980755597917579</v>
      </c>
      <c r="BF98" s="58">
        <v>65.762260088917401</v>
      </c>
      <c r="BG98" s="58">
        <v>97.278153846153842</v>
      </c>
      <c r="BH98" s="58" t="s">
        <v>920</v>
      </c>
      <c r="BI98" s="58">
        <v>87.641920801713283</v>
      </c>
      <c r="BJ98" s="58" t="s">
        <v>920</v>
      </c>
      <c r="BK98" s="58">
        <v>35.082418663743603</v>
      </c>
      <c r="BL98" s="58">
        <v>4.2543958273466638</v>
      </c>
      <c r="BM98" s="58">
        <v>39.880415298179756</v>
      </c>
      <c r="BN98" s="58" t="s">
        <v>920</v>
      </c>
      <c r="BO98" s="58">
        <v>12.79467095233446</v>
      </c>
      <c r="BP98" s="58">
        <v>2.9460708711849852</v>
      </c>
      <c r="BQ98" s="58">
        <v>69.435471057738795</v>
      </c>
      <c r="BR98" s="58">
        <v>20.232082481567648</v>
      </c>
      <c r="BS98" s="58">
        <v>29.452850178630513</v>
      </c>
      <c r="BT98" s="58">
        <v>32.229135778110454</v>
      </c>
      <c r="BU98" s="58">
        <v>38.692625420246138</v>
      </c>
      <c r="BV98" s="58">
        <v>83.124999999894527</v>
      </c>
      <c r="BW98" s="58">
        <v>16.18875802131322</v>
      </c>
      <c r="BX98" s="58">
        <v>50</v>
      </c>
      <c r="BY98" s="58">
        <v>73.931978432185801</v>
      </c>
      <c r="BZ98" s="58">
        <v>52.168853152771902</v>
      </c>
      <c r="CA98" s="58">
        <v>74.445215019062829</v>
      </c>
      <c r="CB98" s="58">
        <v>62.383398416517835</v>
      </c>
      <c r="CC98" s="58">
        <v>66.032298114306826</v>
      </c>
      <c r="CD98" s="58">
        <v>1.3030115400060689</v>
      </c>
      <c r="CE98" s="58">
        <v>40.308526193894991</v>
      </c>
      <c r="CF98" s="58">
        <v>5.8907261462518496</v>
      </c>
      <c r="CG98" s="58">
        <v>23.074118964999013</v>
      </c>
      <c r="CH98" s="58">
        <v>64.253798033958901</v>
      </c>
      <c r="CI98" s="58">
        <v>65.755208333333343</v>
      </c>
      <c r="CJ98" s="58" t="s">
        <v>920</v>
      </c>
      <c r="CK98" s="58">
        <v>70.147020197738939</v>
      </c>
      <c r="CL98" s="58">
        <v>68.888888888888886</v>
      </c>
      <c r="CM98" s="58">
        <v>26.977542759421645</v>
      </c>
      <c r="CN98" s="58">
        <v>78.181818181818187</v>
      </c>
      <c r="CO98" s="58">
        <v>57.158234660925714</v>
      </c>
      <c r="CP98" s="58">
        <v>23.221645263764501</v>
      </c>
      <c r="CQ98" s="58">
        <v>86</v>
      </c>
      <c r="CR98" s="58">
        <v>80</v>
      </c>
      <c r="CS98" s="58">
        <v>96</v>
      </c>
      <c r="CT98" s="58">
        <v>83</v>
      </c>
      <c r="CU98" s="58">
        <v>110</v>
      </c>
      <c r="CV98" s="58" t="s">
        <v>920</v>
      </c>
      <c r="CW98" s="58">
        <v>59</v>
      </c>
      <c r="CX98" s="58">
        <v>65</v>
      </c>
      <c r="CY98" s="58">
        <v>102</v>
      </c>
      <c r="CZ98" s="58">
        <v>86</v>
      </c>
      <c r="DA98" s="58">
        <v>87</v>
      </c>
      <c r="DB98" s="58">
        <v>121</v>
      </c>
      <c r="DC98" s="58">
        <v>53</v>
      </c>
      <c r="DD98" s="58">
        <v>94</v>
      </c>
      <c r="DE98" s="58">
        <v>105</v>
      </c>
      <c r="DF98" s="58">
        <v>97</v>
      </c>
      <c r="DG98" s="58">
        <v>69</v>
      </c>
      <c r="DH98" s="58">
        <v>26</v>
      </c>
      <c r="DI98" s="58" t="s">
        <v>920</v>
      </c>
      <c r="DJ98" s="58">
        <v>18</v>
      </c>
      <c r="DK98" s="58" t="s">
        <v>920</v>
      </c>
      <c r="DL98" s="58">
        <v>93</v>
      </c>
      <c r="DM98" s="58">
        <v>65</v>
      </c>
      <c r="DN98" s="58">
        <v>102</v>
      </c>
      <c r="DO98" s="58" t="s">
        <v>920</v>
      </c>
      <c r="DP98" s="58">
        <v>103</v>
      </c>
      <c r="DQ98" s="58">
        <v>83</v>
      </c>
      <c r="DR98" s="58">
        <v>54</v>
      </c>
      <c r="DS98" s="58">
        <v>120</v>
      </c>
      <c r="DT98" s="58">
        <v>41</v>
      </c>
      <c r="DU98" s="58">
        <v>56</v>
      </c>
      <c r="DV98" s="58">
        <v>79</v>
      </c>
      <c r="DW98" s="58">
        <v>34</v>
      </c>
      <c r="DX98" s="58">
        <v>106</v>
      </c>
      <c r="DY98" s="58">
        <v>107</v>
      </c>
      <c r="DZ98" s="58">
        <v>43</v>
      </c>
      <c r="EA98" s="58">
        <v>77</v>
      </c>
      <c r="EB98" s="58">
        <v>61</v>
      </c>
      <c r="EC98" s="58">
        <v>69</v>
      </c>
      <c r="ED98" s="58">
        <v>37</v>
      </c>
      <c r="EE98" s="58">
        <v>50</v>
      </c>
      <c r="EF98" s="58">
        <v>99</v>
      </c>
      <c r="EG98" s="58">
        <v>103</v>
      </c>
      <c r="EH98" s="58">
        <v>42</v>
      </c>
      <c r="EI98" s="58">
        <v>54</v>
      </c>
      <c r="EJ98" s="58">
        <v>77</v>
      </c>
      <c r="EK98" s="58" t="s">
        <v>920</v>
      </c>
      <c r="EL98" s="58">
        <v>51</v>
      </c>
      <c r="EM98" s="58">
        <v>86</v>
      </c>
      <c r="EN98" s="58">
        <v>59</v>
      </c>
      <c r="EO98" s="58">
        <v>62</v>
      </c>
      <c r="EP98" s="58">
        <v>103</v>
      </c>
      <c r="EQ98" s="58">
        <v>117</v>
      </c>
    </row>
    <row r="99" spans="1:147" x14ac:dyDescent="0.45">
      <c r="A99" t="s">
        <v>96</v>
      </c>
      <c r="B99" s="59" t="s">
        <v>370</v>
      </c>
      <c r="C99" s="37" t="s">
        <v>31</v>
      </c>
      <c r="D99" s="37" t="s">
        <v>882</v>
      </c>
      <c r="E99" s="104">
        <v>14994.050999999999</v>
      </c>
      <c r="F99" s="104">
        <v>22972000</v>
      </c>
      <c r="G99" s="87">
        <v>40.477581523622739</v>
      </c>
      <c r="H99" s="1" t="s">
        <v>217</v>
      </c>
      <c r="I99" s="58">
        <v>93</v>
      </c>
      <c r="J99" s="87">
        <v>39.524626636296915</v>
      </c>
      <c r="K99" s="87">
        <v>30.333267047018111</v>
      </c>
      <c r="L99" s="87">
        <v>44.116733019582455</v>
      </c>
      <c r="M99" s="87">
        <v>47.935699391593481</v>
      </c>
      <c r="N99" s="58">
        <v>80</v>
      </c>
      <c r="O99" s="58">
        <v>102</v>
      </c>
      <c r="P99" s="58">
        <v>102</v>
      </c>
      <c r="Q99" s="58">
        <v>87</v>
      </c>
      <c r="R99" s="58">
        <v>58.519764011093464</v>
      </c>
      <c r="S99" s="58">
        <v>22.556867008757408</v>
      </c>
      <c r="T99" s="58">
        <v>37.497248889039874</v>
      </c>
      <c r="U99" s="58">
        <v>47.875125509927656</v>
      </c>
      <c r="V99" s="58">
        <v>19.929728069192191</v>
      </c>
      <c r="W99" s="58">
        <v>23.19494756193448</v>
      </c>
      <c r="X99" s="58">
        <v>37.056719306726592</v>
      </c>
      <c r="Y99" s="58">
        <v>34.692257002386285</v>
      </c>
      <c r="Z99" s="58">
        <v>60.601222749634488</v>
      </c>
      <c r="AA99" s="58">
        <v>29.135045179202173</v>
      </c>
      <c r="AB99" s="58">
        <v>47.766132978199721</v>
      </c>
      <c r="AC99" s="58">
        <v>66.905920017378548</v>
      </c>
      <c r="AD99" s="58">
        <v>89</v>
      </c>
      <c r="AE99" s="58">
        <v>72</v>
      </c>
      <c r="AF99" s="58">
        <v>53</v>
      </c>
      <c r="AG99" s="58">
        <v>76</v>
      </c>
      <c r="AH99" s="58">
        <v>108</v>
      </c>
      <c r="AI99" s="58">
        <v>108</v>
      </c>
      <c r="AJ99" s="58">
        <v>105</v>
      </c>
      <c r="AK99" s="58">
        <v>121</v>
      </c>
      <c r="AL99" s="58">
        <v>71</v>
      </c>
      <c r="AM99" s="58">
        <v>80</v>
      </c>
      <c r="AN99" s="58">
        <v>99</v>
      </c>
      <c r="AO99" s="58">
        <v>55</v>
      </c>
      <c r="AP99" s="58">
        <v>86.426973778220798</v>
      </c>
      <c r="AQ99" s="58">
        <v>31.420236166722699</v>
      </c>
      <c r="AR99" s="58">
        <v>34.420659329145344</v>
      </c>
      <c r="AS99" s="58">
        <v>86.315789473683708</v>
      </c>
      <c r="AT99" s="58">
        <v>71.865432872315054</v>
      </c>
      <c r="AU99" s="58">
        <v>40.6694924464732</v>
      </c>
      <c r="AV99" s="58">
        <v>14.4678258534435</v>
      </c>
      <c r="AW99" s="58">
        <v>0.9205062220746234</v>
      </c>
      <c r="AX99" s="58">
        <v>56.708925742716545</v>
      </c>
      <c r="AY99" s="58">
        <v>18.130210216794971</v>
      </c>
      <c r="AZ99" s="58">
        <v>41.114259125695504</v>
      </c>
      <c r="BA99" s="58">
        <v>38.249999999999993</v>
      </c>
      <c r="BB99" s="58" t="s">
        <v>920</v>
      </c>
      <c r="BC99" s="58">
        <v>33.127487541424131</v>
      </c>
      <c r="BD99" s="58">
        <v>21.591141682823526</v>
      </c>
      <c r="BE99" s="58">
        <v>49.322205073069327</v>
      </c>
      <c r="BF99" s="58">
        <v>31.356386053048546</v>
      </c>
      <c r="BG99" s="58">
        <v>89.230769230769241</v>
      </c>
      <c r="BH99" s="58" t="s">
        <v>920</v>
      </c>
      <c r="BI99" s="58" t="s">
        <v>920</v>
      </c>
      <c r="BJ99" s="58" t="s">
        <v>920</v>
      </c>
      <c r="BK99" s="58">
        <v>38.662435330568378</v>
      </c>
      <c r="BL99" s="58">
        <v>1.1970208078160054</v>
      </c>
      <c r="BM99" s="58">
        <v>45.786263399141014</v>
      </c>
      <c r="BN99" s="58">
        <v>27.707400865948806</v>
      </c>
      <c r="BO99" s="58">
        <v>17.715678985458265</v>
      </c>
      <c r="BP99" s="58">
        <v>1.5704469971898387</v>
      </c>
      <c r="BQ99" s="58">
        <v>49.010334393374265</v>
      </c>
      <c r="BR99" s="58">
        <v>84.398373531555478</v>
      </c>
      <c r="BS99" s="58">
        <v>4.311930568642615</v>
      </c>
      <c r="BT99" s="58">
        <v>10.506238733334014</v>
      </c>
      <c r="BU99" s="58">
        <v>29.521835320709162</v>
      </c>
      <c r="BV99" s="58">
        <v>1.2499999993203048</v>
      </c>
      <c r="BW99" s="58">
        <v>41.922133225705331</v>
      </c>
      <c r="BX99" s="58">
        <v>50</v>
      </c>
      <c r="BY99" s="58">
        <v>50.767316466196597</v>
      </c>
      <c r="BZ99" s="58">
        <v>37.685146000846373</v>
      </c>
      <c r="CA99" s="58">
        <v>73.703241046964109</v>
      </c>
      <c r="CB99" s="58">
        <v>42.629953767237694</v>
      </c>
      <c r="CC99" s="58">
        <v>88.38655018348976</v>
      </c>
      <c r="CD99" s="58">
        <v>0.52513784000674801</v>
      </c>
      <c r="CE99" s="58">
        <v>54.528392743862497</v>
      </c>
      <c r="CF99" s="58">
        <v>24.279361311967989</v>
      </c>
      <c r="CG99" s="58">
        <v>37.207288820971449</v>
      </c>
      <c r="CH99" s="58">
        <v>14.097408400357466</v>
      </c>
      <c r="CI99" s="58">
        <v>58.854166666666664</v>
      </c>
      <c r="CJ99" s="58">
        <v>64.540816326530603</v>
      </c>
      <c r="CK99" s="58">
        <v>76.152831408619505</v>
      </c>
      <c r="CL99" s="58">
        <v>71.111111111111114</v>
      </c>
      <c r="CM99" s="58" t="s">
        <v>920</v>
      </c>
      <c r="CN99" s="58">
        <v>50</v>
      </c>
      <c r="CO99" s="58">
        <v>93.326157158234665</v>
      </c>
      <c r="CP99" s="58">
        <v>43.672094676690875</v>
      </c>
      <c r="CQ99" s="58">
        <v>19</v>
      </c>
      <c r="CR99" s="58">
        <v>115</v>
      </c>
      <c r="CS99" s="58">
        <v>55</v>
      </c>
      <c r="CT99" s="58">
        <v>89</v>
      </c>
      <c r="CU99" s="58">
        <v>62</v>
      </c>
      <c r="CV99" s="58">
        <v>69</v>
      </c>
      <c r="CW99" s="58">
        <v>49</v>
      </c>
      <c r="CX99" s="58">
        <v>99</v>
      </c>
      <c r="CY99" s="58">
        <v>88</v>
      </c>
      <c r="CZ99" s="58">
        <v>36</v>
      </c>
      <c r="DA99" s="58">
        <v>92</v>
      </c>
      <c r="DB99" s="58">
        <v>68</v>
      </c>
      <c r="DC99" s="58" t="s">
        <v>920</v>
      </c>
      <c r="DD99" s="58">
        <v>24</v>
      </c>
      <c r="DE99" s="58">
        <v>46</v>
      </c>
      <c r="DF99" s="58">
        <v>66</v>
      </c>
      <c r="DG99" s="58">
        <v>100</v>
      </c>
      <c r="DH99" s="58">
        <v>56</v>
      </c>
      <c r="DI99" s="58" t="s">
        <v>920</v>
      </c>
      <c r="DJ99" s="58" t="s">
        <v>920</v>
      </c>
      <c r="DK99" s="58" t="s">
        <v>920</v>
      </c>
      <c r="DL99" s="58">
        <v>71</v>
      </c>
      <c r="DM99" s="58">
        <v>93</v>
      </c>
      <c r="DN99" s="58">
        <v>96</v>
      </c>
      <c r="DO99" s="58">
        <v>62</v>
      </c>
      <c r="DP99" s="58">
        <v>98</v>
      </c>
      <c r="DQ99" s="58">
        <v>97</v>
      </c>
      <c r="DR99" s="58">
        <v>88</v>
      </c>
      <c r="DS99" s="58">
        <v>71</v>
      </c>
      <c r="DT99" s="58">
        <v>56</v>
      </c>
      <c r="DU99" s="58">
        <v>90</v>
      </c>
      <c r="DV99" s="58">
        <v>97</v>
      </c>
      <c r="DW99" s="58">
        <v>126</v>
      </c>
      <c r="DX99" s="58">
        <v>71</v>
      </c>
      <c r="DY99" s="58">
        <v>107</v>
      </c>
      <c r="DZ99" s="58">
        <v>87</v>
      </c>
      <c r="EA99" s="58">
        <v>98</v>
      </c>
      <c r="EB99" s="58">
        <v>62</v>
      </c>
      <c r="EC99" s="58">
        <v>91</v>
      </c>
      <c r="ED99" s="58">
        <v>4</v>
      </c>
      <c r="EE99" s="58">
        <v>58</v>
      </c>
      <c r="EF99" s="58">
        <v>61</v>
      </c>
      <c r="EG99" s="58">
        <v>85</v>
      </c>
      <c r="EH99" s="58">
        <v>23</v>
      </c>
      <c r="EI99" s="58">
        <v>116</v>
      </c>
      <c r="EJ99" s="58">
        <v>91</v>
      </c>
      <c r="EK99" s="58">
        <v>72</v>
      </c>
      <c r="EL99" s="58">
        <v>37</v>
      </c>
      <c r="EM99" s="58">
        <v>84</v>
      </c>
      <c r="EN99" s="58" t="s">
        <v>920</v>
      </c>
      <c r="EO99" s="58">
        <v>112</v>
      </c>
      <c r="EP99" s="58">
        <v>7</v>
      </c>
      <c r="EQ99" s="58">
        <v>89</v>
      </c>
    </row>
    <row r="100" spans="1:147" x14ac:dyDescent="0.45">
      <c r="A100" t="s">
        <v>93</v>
      </c>
      <c r="B100" s="59" t="s">
        <v>365</v>
      </c>
      <c r="C100" s="37" t="s">
        <v>37</v>
      </c>
      <c r="D100" s="37" t="s">
        <v>881</v>
      </c>
      <c r="E100" s="104">
        <v>13924.09</v>
      </c>
      <c r="F100" s="104">
        <v>2840000</v>
      </c>
      <c r="G100" s="87">
        <v>40.353077822757818</v>
      </c>
      <c r="H100" s="1" t="s">
        <v>213</v>
      </c>
      <c r="I100" s="58">
        <v>94</v>
      </c>
      <c r="J100" s="87">
        <v>33.781920117931413</v>
      </c>
      <c r="K100" s="87">
        <v>32.090593089080613</v>
      </c>
      <c r="L100" s="87">
        <v>49.143086294501153</v>
      </c>
      <c r="M100" s="87">
        <v>46.3967117895181</v>
      </c>
      <c r="N100" s="58">
        <v>92</v>
      </c>
      <c r="O100" s="58">
        <v>95</v>
      </c>
      <c r="P100" s="58">
        <v>97</v>
      </c>
      <c r="Q100" s="58">
        <v>93</v>
      </c>
      <c r="R100" s="58">
        <v>59.080033610944639</v>
      </c>
      <c r="S100" s="58">
        <v>13.815238545772692</v>
      </c>
      <c r="T100" s="58">
        <v>28.450488197076922</v>
      </c>
      <c r="U100" s="58">
        <v>30.605673709579463</v>
      </c>
      <c r="V100" s="58">
        <v>30.276886991578532</v>
      </c>
      <c r="W100" s="58">
        <v>35.389218566083834</v>
      </c>
      <c r="X100" s="58">
        <v>36.462009071906287</v>
      </c>
      <c r="Y100" s="58">
        <v>62.482784600353298</v>
      </c>
      <c r="Z100" s="58">
        <v>48.484465211243879</v>
      </c>
      <c r="AA100" s="58">
        <v>14.487427928498084</v>
      </c>
      <c r="AB100" s="58">
        <v>66.200253267115912</v>
      </c>
      <c r="AC100" s="58">
        <v>58.502454172940325</v>
      </c>
      <c r="AD100" s="58">
        <v>86</v>
      </c>
      <c r="AE100" s="58">
        <v>103</v>
      </c>
      <c r="AF100" s="58">
        <v>89</v>
      </c>
      <c r="AG100" s="58">
        <v>111</v>
      </c>
      <c r="AH100" s="58">
        <v>65</v>
      </c>
      <c r="AI100" s="58">
        <v>80</v>
      </c>
      <c r="AJ100" s="58">
        <v>107</v>
      </c>
      <c r="AK100" s="58">
        <v>66</v>
      </c>
      <c r="AL100" s="58">
        <v>102</v>
      </c>
      <c r="AM100" s="58">
        <v>123</v>
      </c>
      <c r="AN100" s="58">
        <v>65</v>
      </c>
      <c r="AO100" s="58">
        <v>85</v>
      </c>
      <c r="AP100" s="58">
        <v>33.852367683257</v>
      </c>
      <c r="AQ100" s="58">
        <v>31.985580530520132</v>
      </c>
      <c r="AR100" s="58">
        <v>29.574059285734872</v>
      </c>
      <c r="AS100" s="58">
        <v>94.73684210526315</v>
      </c>
      <c r="AT100" s="58">
        <v>65.418311899759843</v>
      </c>
      <c r="AU100" s="58">
        <v>98.913040161132798</v>
      </c>
      <c r="AV100" s="58">
        <v>2.5214328863911009</v>
      </c>
      <c r="AW100" s="58">
        <v>1.4813530597793167</v>
      </c>
      <c r="AX100" s="58">
        <v>50.414236582179029</v>
      </c>
      <c r="AY100" s="58">
        <v>0.84393165474132159</v>
      </c>
      <c r="AZ100" s="58">
        <v>42.128372277072593</v>
      </c>
      <c r="BA100" s="58">
        <v>38</v>
      </c>
      <c r="BB100" s="58" t="s">
        <v>920</v>
      </c>
      <c r="BC100" s="58">
        <v>5.2230923141581664</v>
      </c>
      <c r="BD100" s="58">
        <v>6.6881323471767411</v>
      </c>
      <c r="BE100" s="58">
        <v>30.68224697497574</v>
      </c>
      <c r="BF100" s="58">
        <v>54.446641806585902</v>
      </c>
      <c r="BG100" s="58" t="s">
        <v>920</v>
      </c>
      <c r="BH100" s="58" t="s">
        <v>920</v>
      </c>
      <c r="BI100" s="58">
        <v>60.246715985613534</v>
      </c>
      <c r="BJ100" s="58">
        <v>29.534598985129207</v>
      </c>
      <c r="BK100" s="58" t="s">
        <v>920</v>
      </c>
      <c r="BL100" s="58">
        <v>1.049346003992859</v>
      </c>
      <c r="BM100" s="58">
        <v>47.993888427713813</v>
      </c>
      <c r="BN100" s="58">
        <v>22.145620045833024</v>
      </c>
      <c r="BO100" s="58">
        <v>36.028147224704668</v>
      </c>
      <c r="BP100" s="58" t="s">
        <v>920</v>
      </c>
      <c r="BQ100" s="58">
        <v>41.931879100596085</v>
      </c>
      <c r="BR100" s="58">
        <v>49.572001263381097</v>
      </c>
      <c r="BS100" s="58" t="s">
        <v>920</v>
      </c>
      <c r="BT100" s="58">
        <v>17.882146851741677</v>
      </c>
      <c r="BU100" s="58">
        <v>44.681630935883291</v>
      </c>
      <c r="BV100" s="58">
        <v>59.687499999748049</v>
      </c>
      <c r="BW100" s="58" t="s">
        <v>920</v>
      </c>
      <c r="BX100" s="58">
        <v>50</v>
      </c>
      <c r="BY100" s="58">
        <v>95.562007465781846</v>
      </c>
      <c r="BZ100" s="58">
        <v>40.58400338552687</v>
      </c>
      <c r="CA100" s="58">
        <v>49.880509339231743</v>
      </c>
      <c r="CB100" s="58">
        <v>80.253662964779622</v>
      </c>
      <c r="CC100" s="58">
        <v>23.219685155437315</v>
      </c>
      <c r="CD100" s="58">
        <v>0.50244429755518616</v>
      </c>
      <c r="CE100" s="58">
        <v>31.989782100386797</v>
      </c>
      <c r="CF100" s="58" t="s">
        <v>920</v>
      </c>
      <c r="CG100" s="58">
        <v>10.97005738755227</v>
      </c>
      <c r="CH100" s="58">
        <v>58.310991957104562</v>
      </c>
      <c r="CI100" s="58">
        <v>81.380208333333343</v>
      </c>
      <c r="CJ100" s="58">
        <v>58.928571428571438</v>
      </c>
      <c r="CK100" s="58">
        <v>58.890547593248264</v>
      </c>
      <c r="CL100" s="58">
        <v>86.666666666666671</v>
      </c>
      <c r="CM100" s="58">
        <v>24.510973070912993</v>
      </c>
      <c r="CN100" s="58">
        <v>62.727272727272734</v>
      </c>
      <c r="CO100" s="58">
        <v>66.092572658772866</v>
      </c>
      <c r="CP100" s="58">
        <v>74.691329802938753</v>
      </c>
      <c r="CQ100" s="58">
        <v>115</v>
      </c>
      <c r="CR100" s="58">
        <v>113</v>
      </c>
      <c r="CS100" s="58">
        <v>71</v>
      </c>
      <c r="CT100" s="58">
        <v>63</v>
      </c>
      <c r="CU100" s="58">
        <v>100</v>
      </c>
      <c r="CV100" s="58">
        <v>39</v>
      </c>
      <c r="CW100" s="58">
        <v>98</v>
      </c>
      <c r="CX100" s="58">
        <v>89</v>
      </c>
      <c r="CY100" s="58">
        <v>97</v>
      </c>
      <c r="CZ100" s="58">
        <v>99</v>
      </c>
      <c r="DA100" s="58">
        <v>89</v>
      </c>
      <c r="DB100" s="58">
        <v>69</v>
      </c>
      <c r="DC100" s="58" t="s">
        <v>920</v>
      </c>
      <c r="DD100" s="58">
        <v>96</v>
      </c>
      <c r="DE100" s="58">
        <v>86</v>
      </c>
      <c r="DF100" s="58">
        <v>95</v>
      </c>
      <c r="DG100" s="58">
        <v>84</v>
      </c>
      <c r="DH100" s="58" t="s">
        <v>920</v>
      </c>
      <c r="DI100" s="58" t="s">
        <v>920</v>
      </c>
      <c r="DJ100" s="58">
        <v>54</v>
      </c>
      <c r="DK100" s="58">
        <v>22</v>
      </c>
      <c r="DL100" s="58" t="s">
        <v>920</v>
      </c>
      <c r="DM100" s="58">
        <v>95</v>
      </c>
      <c r="DN100" s="58">
        <v>93</v>
      </c>
      <c r="DO100" s="58">
        <v>71</v>
      </c>
      <c r="DP100" s="58">
        <v>64</v>
      </c>
      <c r="DQ100" s="58" t="s">
        <v>920</v>
      </c>
      <c r="DR100" s="58">
        <v>97</v>
      </c>
      <c r="DS100" s="58">
        <v>105</v>
      </c>
      <c r="DT100" s="58" t="s">
        <v>920</v>
      </c>
      <c r="DU100" s="58">
        <v>76</v>
      </c>
      <c r="DV100" s="58">
        <v>69</v>
      </c>
      <c r="DW100" s="58">
        <v>82</v>
      </c>
      <c r="DX100" s="58" t="s">
        <v>920</v>
      </c>
      <c r="DY100" s="58">
        <v>107</v>
      </c>
      <c r="DZ100" s="58">
        <v>6</v>
      </c>
      <c r="EA100" s="58">
        <v>92</v>
      </c>
      <c r="EB100" s="58">
        <v>94</v>
      </c>
      <c r="EC100" s="58">
        <v>3</v>
      </c>
      <c r="ED100" s="58">
        <v>72</v>
      </c>
      <c r="EE100" s="58">
        <v>59</v>
      </c>
      <c r="EF100" s="58">
        <v>122</v>
      </c>
      <c r="EG100" s="58" t="s">
        <v>920</v>
      </c>
      <c r="EH100" s="58">
        <v>71</v>
      </c>
      <c r="EI100" s="58">
        <v>70</v>
      </c>
      <c r="EJ100" s="58">
        <v>41</v>
      </c>
      <c r="EK100" s="58">
        <v>82</v>
      </c>
      <c r="EL100" s="58">
        <v>83</v>
      </c>
      <c r="EM100" s="58">
        <v>63</v>
      </c>
      <c r="EN100" s="58">
        <v>63</v>
      </c>
      <c r="EO100" s="58">
        <v>102</v>
      </c>
      <c r="EP100" s="58">
        <v>89</v>
      </c>
      <c r="EQ100" s="58">
        <v>42</v>
      </c>
    </row>
    <row r="101" spans="1:147" x14ac:dyDescent="0.45">
      <c r="A101" t="s">
        <v>112</v>
      </c>
      <c r="B101" s="59" t="s">
        <v>381</v>
      </c>
      <c r="C101" s="37" t="s">
        <v>31</v>
      </c>
      <c r="D101" s="37" t="s">
        <v>882</v>
      </c>
      <c r="E101" s="104">
        <v>6949.8990000000003</v>
      </c>
      <c r="F101" s="104">
        <v>247504000</v>
      </c>
      <c r="G101" s="87">
        <v>39.532600829192418</v>
      </c>
      <c r="H101" s="1" t="s">
        <v>235</v>
      </c>
      <c r="I101" s="58">
        <v>95</v>
      </c>
      <c r="J101" s="87">
        <v>47.527100891686899</v>
      </c>
      <c r="K101" s="87">
        <v>30.429260910088633</v>
      </c>
      <c r="L101" s="87">
        <v>37.746715181013194</v>
      </c>
      <c r="M101" s="87">
        <v>42.427326333980943</v>
      </c>
      <c r="N101" s="58">
        <v>48</v>
      </c>
      <c r="O101" s="58">
        <v>101</v>
      </c>
      <c r="P101" s="58">
        <v>112</v>
      </c>
      <c r="Q101" s="58">
        <v>104</v>
      </c>
      <c r="R101" s="58">
        <v>49.02422719004263</v>
      </c>
      <c r="S101" s="58">
        <v>44.344373249881386</v>
      </c>
      <c r="T101" s="58">
        <v>49.212702235136675</v>
      </c>
      <c r="U101" s="58">
        <v>38.523836951940375</v>
      </c>
      <c r="V101" s="58">
        <v>23.973259433261216</v>
      </c>
      <c r="W101" s="58">
        <v>28.790686345064316</v>
      </c>
      <c r="X101" s="58">
        <v>45.618142356218641</v>
      </c>
      <c r="Y101" s="58">
        <v>52.219929809856673</v>
      </c>
      <c r="Z101" s="58">
        <v>15.402073376964269</v>
      </c>
      <c r="AA101" s="58">
        <v>34.296976055243775</v>
      </c>
      <c r="AB101" s="58">
        <v>44.841246230404408</v>
      </c>
      <c r="AC101" s="58">
        <v>48.143756716294639</v>
      </c>
      <c r="AD101" s="58">
        <v>104</v>
      </c>
      <c r="AE101" s="58">
        <v>29</v>
      </c>
      <c r="AF101" s="58">
        <v>24</v>
      </c>
      <c r="AG101" s="58">
        <v>101</v>
      </c>
      <c r="AH101" s="58">
        <v>91</v>
      </c>
      <c r="AI101" s="58">
        <v>95</v>
      </c>
      <c r="AJ101" s="58">
        <v>87</v>
      </c>
      <c r="AK101" s="58">
        <v>89</v>
      </c>
      <c r="AL101" s="58">
        <v>125</v>
      </c>
      <c r="AM101" s="58">
        <v>57</v>
      </c>
      <c r="AN101" s="58">
        <v>109</v>
      </c>
      <c r="AO101" s="58">
        <v>111</v>
      </c>
      <c r="AP101" s="58">
        <v>62.2826314579479</v>
      </c>
      <c r="AQ101" s="58">
        <v>48.078639793514164</v>
      </c>
      <c r="AR101" s="58">
        <v>52.961518828608511</v>
      </c>
      <c r="AS101" s="58">
        <v>0</v>
      </c>
      <c r="AT101" s="58">
        <v>81.798345870142597</v>
      </c>
      <c r="AU101" s="58" t="s">
        <v>920</v>
      </c>
      <c r="AV101" s="58">
        <v>2.4672619880312769</v>
      </c>
      <c r="AW101" s="58">
        <v>0.38557753556730967</v>
      </c>
      <c r="AX101" s="58">
        <v>74.524653475926939</v>
      </c>
      <c r="AY101" s="58">
        <v>100</v>
      </c>
      <c r="AZ101" s="58">
        <v>71.451955584236615</v>
      </c>
      <c r="BA101" s="58">
        <v>48.250000000000007</v>
      </c>
      <c r="BB101" s="58" t="s">
        <v>920</v>
      </c>
      <c r="BC101" s="58">
        <v>27.936151121173392</v>
      </c>
      <c r="BD101" s="58">
        <v>46.009237273713048</v>
      </c>
      <c r="BE101" s="58">
        <v>46.012384629733404</v>
      </c>
      <c r="BF101" s="58">
        <v>25.37203640423996</v>
      </c>
      <c r="BG101" s="58">
        <v>36.701689500075076</v>
      </c>
      <c r="BH101" s="58" t="s">
        <v>920</v>
      </c>
      <c r="BI101" s="58">
        <v>43.764123876341905</v>
      </c>
      <c r="BJ101" s="58">
        <v>0.93641855110020988</v>
      </c>
      <c r="BK101" s="58">
        <v>46.748622210423498</v>
      </c>
      <c r="BL101" s="58">
        <v>4.4438730951792627</v>
      </c>
      <c r="BM101" s="58">
        <v>64.409715956256548</v>
      </c>
      <c r="BN101" s="58" t="s">
        <v>920</v>
      </c>
      <c r="BO101" s="58">
        <v>19.466244107832605</v>
      </c>
      <c r="BP101" s="58">
        <v>2.4960989711037938</v>
      </c>
      <c r="BQ101" s="58">
        <v>37.096604128216697</v>
      </c>
      <c r="BR101" s="58">
        <v>96.030761818310367</v>
      </c>
      <c r="BS101" s="58" t="s">
        <v>920</v>
      </c>
      <c r="BT101" s="58">
        <v>3.7270611221288643</v>
      </c>
      <c r="BU101" s="58">
        <v>19.680995334863642</v>
      </c>
      <c r="BV101" s="58">
        <v>94.374999999964842</v>
      </c>
      <c r="BW101" s="58">
        <v>51.647552511634466</v>
      </c>
      <c r="BX101" s="58">
        <v>50</v>
      </c>
      <c r="BY101" s="58">
        <v>45.396101202820404</v>
      </c>
      <c r="BZ101" s="58">
        <v>46.381718154887849</v>
      </c>
      <c r="CA101" s="58">
        <v>12.078252531907561</v>
      </c>
      <c r="CB101" s="58">
        <v>0</v>
      </c>
      <c r="CC101" s="58">
        <v>3.1483228210616674</v>
      </c>
      <c r="CD101" s="58">
        <v>5.3508436261831625E-2</v>
      </c>
      <c r="CE101" s="58">
        <v>70.006190736838519</v>
      </c>
      <c r="CF101" s="58">
        <v>24.185622260026442</v>
      </c>
      <c r="CG101" s="58">
        <v>42.942582787848288</v>
      </c>
      <c r="CH101" s="58">
        <v>33.690795352993746</v>
      </c>
      <c r="CI101" s="58">
        <v>37.109375000000007</v>
      </c>
      <c r="CJ101" s="58">
        <v>85.204081632653057</v>
      </c>
      <c r="CK101" s="58">
        <v>42.24305504378588</v>
      </c>
      <c r="CL101" s="58">
        <v>22.222222222222221</v>
      </c>
      <c r="CM101" s="58" t="s">
        <v>920</v>
      </c>
      <c r="CN101" s="58">
        <v>40</v>
      </c>
      <c r="CO101" s="58">
        <v>71.582346609257257</v>
      </c>
      <c r="CP101" s="58">
        <v>43.4756248570311</v>
      </c>
      <c r="CQ101" s="58">
        <v>73</v>
      </c>
      <c r="CR101" s="58">
        <v>87</v>
      </c>
      <c r="CS101" s="58">
        <v>17</v>
      </c>
      <c r="CT101" s="58">
        <v>121</v>
      </c>
      <c r="CU101" s="58">
        <v>19</v>
      </c>
      <c r="CV101" s="58" t="s">
        <v>920</v>
      </c>
      <c r="CW101" s="58">
        <v>99</v>
      </c>
      <c r="CX101" s="58">
        <v>109</v>
      </c>
      <c r="CY101" s="58">
        <v>17</v>
      </c>
      <c r="CZ101" s="58">
        <v>1</v>
      </c>
      <c r="DA101" s="58">
        <v>40</v>
      </c>
      <c r="DB101" s="58">
        <v>48</v>
      </c>
      <c r="DC101" s="58" t="s">
        <v>920</v>
      </c>
      <c r="DD101" s="58">
        <v>30</v>
      </c>
      <c r="DE101" s="58">
        <v>15</v>
      </c>
      <c r="DF101" s="58">
        <v>74</v>
      </c>
      <c r="DG101" s="58">
        <v>103</v>
      </c>
      <c r="DH101" s="58">
        <v>91</v>
      </c>
      <c r="DI101" s="58" t="s">
        <v>920</v>
      </c>
      <c r="DJ101" s="58">
        <v>75</v>
      </c>
      <c r="DK101" s="58">
        <v>86</v>
      </c>
      <c r="DL101" s="58">
        <v>46</v>
      </c>
      <c r="DM101" s="58">
        <v>63</v>
      </c>
      <c r="DN101" s="58">
        <v>75</v>
      </c>
      <c r="DO101" s="58" t="s">
        <v>920</v>
      </c>
      <c r="DP101" s="58">
        <v>95</v>
      </c>
      <c r="DQ101" s="58">
        <v>87</v>
      </c>
      <c r="DR101" s="58">
        <v>104</v>
      </c>
      <c r="DS101" s="58">
        <v>42</v>
      </c>
      <c r="DT101" s="58" t="s">
        <v>920</v>
      </c>
      <c r="DU101" s="58">
        <v>113</v>
      </c>
      <c r="DV101" s="58">
        <v>115</v>
      </c>
      <c r="DW101" s="58">
        <v>5</v>
      </c>
      <c r="DX101" s="58">
        <v>50</v>
      </c>
      <c r="DY101" s="58">
        <v>107</v>
      </c>
      <c r="DZ101" s="58">
        <v>94</v>
      </c>
      <c r="EA101" s="58">
        <v>85</v>
      </c>
      <c r="EB101" s="58">
        <v>119</v>
      </c>
      <c r="EC101" s="58">
        <v>104</v>
      </c>
      <c r="ED101" s="58">
        <v>80</v>
      </c>
      <c r="EE101" s="58">
        <v>76</v>
      </c>
      <c r="EF101" s="58">
        <v>25</v>
      </c>
      <c r="EG101" s="58">
        <v>86</v>
      </c>
      <c r="EH101" s="58">
        <v>18</v>
      </c>
      <c r="EI101" s="58">
        <v>99</v>
      </c>
      <c r="EJ101" s="58">
        <v>115</v>
      </c>
      <c r="EK101" s="58">
        <v>21</v>
      </c>
      <c r="EL101" s="58">
        <v>109</v>
      </c>
      <c r="EM101" s="58">
        <v>113</v>
      </c>
      <c r="EN101" s="58" t="s">
        <v>920</v>
      </c>
      <c r="EO101" s="58">
        <v>119</v>
      </c>
      <c r="EP101" s="58">
        <v>81</v>
      </c>
      <c r="EQ101" s="58">
        <v>90</v>
      </c>
    </row>
    <row r="102" spans="1:147" x14ac:dyDescent="0.45">
      <c r="A102" t="s">
        <v>104</v>
      </c>
      <c r="B102" s="59" t="s">
        <v>375</v>
      </c>
      <c r="C102" s="37" t="s">
        <v>29</v>
      </c>
      <c r="D102" s="37" t="s">
        <v>882</v>
      </c>
      <c r="E102" s="104">
        <v>14982.77</v>
      </c>
      <c r="F102" s="104">
        <v>12200000</v>
      </c>
      <c r="G102" s="87">
        <v>39.29294335695149</v>
      </c>
      <c r="H102" s="1" t="s">
        <v>226</v>
      </c>
      <c r="I102" s="58">
        <v>96</v>
      </c>
      <c r="J102" s="87">
        <v>42.498285900561285</v>
      </c>
      <c r="K102" s="87">
        <v>36.182647260844725</v>
      </c>
      <c r="L102" s="87">
        <v>42.11246010827881</v>
      </c>
      <c r="M102" s="87">
        <v>36.378380158121125</v>
      </c>
      <c r="N102" s="58">
        <v>68</v>
      </c>
      <c r="O102" s="58">
        <v>84</v>
      </c>
      <c r="P102" s="58">
        <v>105</v>
      </c>
      <c r="Q102" s="58">
        <v>117</v>
      </c>
      <c r="R102" s="58">
        <v>64.392539207038283</v>
      </c>
      <c r="S102" s="58">
        <v>23.102835642270556</v>
      </c>
      <c r="T102" s="58">
        <v>39.999482852375017</v>
      </c>
      <c r="U102" s="58">
        <v>54.988522759497705</v>
      </c>
      <c r="V102" s="58">
        <v>25.688693712927893</v>
      </c>
      <c r="W102" s="58">
        <v>27.870725310108575</v>
      </c>
      <c r="X102" s="58">
        <v>47.473606846847268</v>
      </c>
      <c r="Y102" s="58">
        <v>52.325581675815201</v>
      </c>
      <c r="Z102" s="58">
        <v>26.538191802173969</v>
      </c>
      <c r="AA102" s="58">
        <v>19.163812565684111</v>
      </c>
      <c r="AB102" s="58">
        <v>38.952219264685688</v>
      </c>
      <c r="AC102" s="58">
        <v>51.019108643993583</v>
      </c>
      <c r="AD102" s="58">
        <v>75</v>
      </c>
      <c r="AE102" s="58">
        <v>70</v>
      </c>
      <c r="AF102" s="58">
        <v>45</v>
      </c>
      <c r="AG102" s="58">
        <v>48</v>
      </c>
      <c r="AH102" s="58">
        <v>82</v>
      </c>
      <c r="AI102" s="58">
        <v>98</v>
      </c>
      <c r="AJ102" s="58">
        <v>81</v>
      </c>
      <c r="AK102" s="58">
        <v>88</v>
      </c>
      <c r="AL102" s="58">
        <v>118</v>
      </c>
      <c r="AM102" s="58">
        <v>113</v>
      </c>
      <c r="AN102" s="58">
        <v>116</v>
      </c>
      <c r="AO102" s="58">
        <v>101</v>
      </c>
      <c r="AP102" s="58">
        <v>61.768860870968098</v>
      </c>
      <c r="AQ102" s="58">
        <v>45.262899218429006</v>
      </c>
      <c r="AR102" s="58">
        <v>30.915981735079779</v>
      </c>
      <c r="AS102" s="58">
        <v>94.73684210526315</v>
      </c>
      <c r="AT102" s="58">
        <v>72.425412054677196</v>
      </c>
      <c r="AU102" s="58">
        <v>81.2452392578125</v>
      </c>
      <c r="AV102" s="58">
        <v>8.9985788824836916</v>
      </c>
      <c r="AW102" s="58">
        <v>2.5606438025447815</v>
      </c>
      <c r="AX102" s="58">
        <v>52.462971718224829</v>
      </c>
      <c r="AY102" s="58">
        <v>28.389148165828914</v>
      </c>
      <c r="AZ102" s="58">
        <v>60.448781879399213</v>
      </c>
      <c r="BA102" s="58">
        <v>35.5</v>
      </c>
      <c r="BB102" s="58" t="s">
        <v>920</v>
      </c>
      <c r="BC102" s="58">
        <v>24.049666677725856</v>
      </c>
      <c r="BD102" s="58">
        <v>12.905476687841668</v>
      </c>
      <c r="BE102" s="58">
        <v>68.619585011512385</v>
      </c>
      <c r="BF102" s="58">
        <v>59.587770042513078</v>
      </c>
      <c r="BG102" s="58">
        <v>78.841259296123695</v>
      </c>
      <c r="BH102" s="58" t="s">
        <v>920</v>
      </c>
      <c r="BI102" s="58">
        <v>58.655293299201091</v>
      </c>
      <c r="BJ102" s="58">
        <v>4.4465271765190444</v>
      </c>
      <c r="BK102" s="58">
        <v>38.414908262126232</v>
      </c>
      <c r="BL102" s="58">
        <v>1.2380461138652041</v>
      </c>
      <c r="BM102" s="58">
        <v>51.284272325886363</v>
      </c>
      <c r="BN102" s="58">
        <v>30.934958520044535</v>
      </c>
      <c r="BO102" s="58">
        <v>17.575243259210307</v>
      </c>
      <c r="BP102" s="58">
        <v>11.6884271352931</v>
      </c>
      <c r="BQ102" s="58">
        <v>54.815221306287285</v>
      </c>
      <c r="BR102" s="58">
        <v>78.287580801744269</v>
      </c>
      <c r="BS102" s="58" t="s">
        <v>920</v>
      </c>
      <c r="BT102" s="58">
        <v>9.3180184325102662</v>
      </c>
      <c r="BU102" s="58">
        <v>26.734823480936935</v>
      </c>
      <c r="BV102" s="58">
        <v>54.6874999996543</v>
      </c>
      <c r="BW102" s="58">
        <v>43.882482451367423</v>
      </c>
      <c r="BX102" s="58">
        <v>75</v>
      </c>
      <c r="BY102" s="58">
        <v>61.323102447117371</v>
      </c>
      <c r="BZ102" s="58">
        <v>42.033432077867118</v>
      </c>
      <c r="CA102" s="58">
        <v>10.869216805767861</v>
      </c>
      <c r="CB102" s="58">
        <v>38.615882236938681</v>
      </c>
      <c r="CC102" s="58">
        <v>14.63423608812221</v>
      </c>
      <c r="CD102" s="58">
        <v>0.29668026258590513</v>
      </c>
      <c r="CE102" s="58">
        <v>48.931281607864939</v>
      </c>
      <c r="CF102" s="58">
        <v>11.472460602770514</v>
      </c>
      <c r="CG102" s="58">
        <v>15.954827789515088</v>
      </c>
      <c r="CH102" s="58">
        <v>28.865058087578188</v>
      </c>
      <c r="CI102" s="58">
        <v>17.96875</v>
      </c>
      <c r="CJ102" s="58">
        <v>74.744897959183675</v>
      </c>
      <c r="CK102" s="58">
        <v>65.300801453774085</v>
      </c>
      <c r="CL102" s="58">
        <v>71.111111111111114</v>
      </c>
      <c r="CM102" s="58">
        <v>14.064898830233338</v>
      </c>
      <c r="CN102" s="58">
        <v>48.18181818181818</v>
      </c>
      <c r="CO102" s="58">
        <v>75.349838536060275</v>
      </c>
      <c r="CP102" s="58">
        <v>61.848646944613947</v>
      </c>
      <c r="CQ102" s="58">
        <v>74</v>
      </c>
      <c r="CR102" s="58">
        <v>90</v>
      </c>
      <c r="CS102" s="58">
        <v>65</v>
      </c>
      <c r="CT102" s="58">
        <v>63</v>
      </c>
      <c r="CU102" s="58">
        <v>59</v>
      </c>
      <c r="CV102" s="58">
        <v>50</v>
      </c>
      <c r="CW102" s="58">
        <v>56</v>
      </c>
      <c r="CX102" s="58">
        <v>76</v>
      </c>
      <c r="CY102" s="58">
        <v>95</v>
      </c>
      <c r="CZ102" s="58">
        <v>29</v>
      </c>
      <c r="DA102" s="58">
        <v>64</v>
      </c>
      <c r="DB102" s="58">
        <v>77</v>
      </c>
      <c r="DC102" s="58" t="s">
        <v>920</v>
      </c>
      <c r="DD102" s="58">
        <v>40</v>
      </c>
      <c r="DE102" s="58">
        <v>70</v>
      </c>
      <c r="DF102" s="58">
        <v>33</v>
      </c>
      <c r="DG102" s="58">
        <v>77</v>
      </c>
      <c r="DH102" s="58">
        <v>66</v>
      </c>
      <c r="DI102" s="58" t="s">
        <v>920</v>
      </c>
      <c r="DJ102" s="58">
        <v>56</v>
      </c>
      <c r="DK102" s="58">
        <v>67</v>
      </c>
      <c r="DL102" s="58">
        <v>73</v>
      </c>
      <c r="DM102" s="58">
        <v>92</v>
      </c>
      <c r="DN102" s="58">
        <v>91</v>
      </c>
      <c r="DO102" s="58">
        <v>59</v>
      </c>
      <c r="DP102" s="58">
        <v>99</v>
      </c>
      <c r="DQ102" s="58">
        <v>49</v>
      </c>
      <c r="DR102" s="58">
        <v>74</v>
      </c>
      <c r="DS102" s="58">
        <v>81</v>
      </c>
      <c r="DT102" s="58" t="s">
        <v>920</v>
      </c>
      <c r="DU102" s="58">
        <v>94</v>
      </c>
      <c r="DV102" s="58">
        <v>104</v>
      </c>
      <c r="DW102" s="58">
        <v>87</v>
      </c>
      <c r="DX102" s="58">
        <v>63</v>
      </c>
      <c r="DY102" s="58">
        <v>72</v>
      </c>
      <c r="DZ102" s="58">
        <v>67</v>
      </c>
      <c r="EA102" s="58">
        <v>90</v>
      </c>
      <c r="EB102" s="58">
        <v>120</v>
      </c>
      <c r="EC102" s="58">
        <v>95</v>
      </c>
      <c r="ED102" s="58">
        <v>76</v>
      </c>
      <c r="EE102" s="58">
        <v>67</v>
      </c>
      <c r="EF102" s="58">
        <v>77</v>
      </c>
      <c r="EG102" s="58">
        <v>100</v>
      </c>
      <c r="EH102" s="58">
        <v>57</v>
      </c>
      <c r="EI102" s="58">
        <v>102</v>
      </c>
      <c r="EJ102" s="58">
        <v>121</v>
      </c>
      <c r="EK102" s="58">
        <v>47</v>
      </c>
      <c r="EL102" s="58">
        <v>70</v>
      </c>
      <c r="EM102" s="58">
        <v>84</v>
      </c>
      <c r="EN102" s="58">
        <v>71</v>
      </c>
      <c r="EO102" s="58">
        <v>113</v>
      </c>
      <c r="EP102" s="58">
        <v>65</v>
      </c>
      <c r="EQ102" s="58">
        <v>67</v>
      </c>
    </row>
    <row r="103" spans="1:147" x14ac:dyDescent="0.45">
      <c r="A103" t="s">
        <v>400</v>
      </c>
      <c r="B103" s="59" t="s">
        <v>399</v>
      </c>
      <c r="C103" s="37" t="s">
        <v>25</v>
      </c>
      <c r="D103" s="37" t="s">
        <v>882</v>
      </c>
      <c r="E103" s="104">
        <v>4371.1289999999999</v>
      </c>
      <c r="F103" s="104">
        <v>66618000</v>
      </c>
      <c r="G103" s="87">
        <v>39.177450420573606</v>
      </c>
      <c r="H103" s="1" t="s">
        <v>245</v>
      </c>
      <c r="I103" s="58">
        <v>97</v>
      </c>
      <c r="J103" s="87">
        <v>30.734965865286725</v>
      </c>
      <c r="K103" s="87">
        <v>31.986189093623477</v>
      </c>
      <c r="L103" s="87">
        <v>50.65481487596724</v>
      </c>
      <c r="M103" s="87">
        <v>43.333831847416981</v>
      </c>
      <c r="N103" s="58">
        <v>100</v>
      </c>
      <c r="O103" s="58">
        <v>96</v>
      </c>
      <c r="P103" s="58">
        <v>91</v>
      </c>
      <c r="Q103" s="58">
        <v>103</v>
      </c>
      <c r="R103" s="58">
        <v>48.442899334644189</v>
      </c>
      <c r="S103" s="58">
        <v>12.146696016228177</v>
      </c>
      <c r="T103" s="58">
        <v>31.615302244987813</v>
      </c>
      <c r="U103" s="58">
        <v>33.568945537124293</v>
      </c>
      <c r="V103" s="58">
        <v>16.943293593997879</v>
      </c>
      <c r="W103" s="58">
        <v>45.446328149748247</v>
      </c>
      <c r="X103" s="58">
        <v>43.53888790970219</v>
      </c>
      <c r="Y103" s="58">
        <v>59.134798587513707</v>
      </c>
      <c r="Z103" s="58">
        <v>49.290758130685823</v>
      </c>
      <c r="AA103" s="58">
        <v>31.18554304151569</v>
      </c>
      <c r="AB103" s="58">
        <v>47.957017181473795</v>
      </c>
      <c r="AC103" s="58">
        <v>50.858935319261469</v>
      </c>
      <c r="AD103" s="58">
        <v>105</v>
      </c>
      <c r="AE103" s="58">
        <v>108</v>
      </c>
      <c r="AF103" s="58">
        <v>76</v>
      </c>
      <c r="AG103" s="58">
        <v>106</v>
      </c>
      <c r="AH103" s="58">
        <v>118</v>
      </c>
      <c r="AI103" s="58">
        <v>53</v>
      </c>
      <c r="AJ103" s="58">
        <v>91</v>
      </c>
      <c r="AK103" s="58">
        <v>73</v>
      </c>
      <c r="AL103" s="58">
        <v>100</v>
      </c>
      <c r="AM103" s="58">
        <v>69</v>
      </c>
      <c r="AN103" s="58">
        <v>98</v>
      </c>
      <c r="AO103" s="58">
        <v>103</v>
      </c>
      <c r="AP103" s="58">
        <v>30.0349698914542</v>
      </c>
      <c r="AQ103" s="58">
        <v>39.77155301326426</v>
      </c>
      <c r="AR103" s="58">
        <v>50.836517036011294</v>
      </c>
      <c r="AS103" s="58">
        <v>52.631578947368418</v>
      </c>
      <c r="AT103" s="58">
        <v>68.939877785122789</v>
      </c>
      <c r="AU103" s="58" t="s">
        <v>920</v>
      </c>
      <c r="AV103" s="58">
        <v>0.37165878492844795</v>
      </c>
      <c r="AW103" s="58">
        <v>0.19958060768912483</v>
      </c>
      <c r="AX103" s="58">
        <v>39.907714163702522</v>
      </c>
      <c r="AY103" s="58">
        <v>8.1078305085926115</v>
      </c>
      <c r="AZ103" s="58">
        <v>52.838447035709059</v>
      </c>
      <c r="BA103" s="58">
        <v>41.5</v>
      </c>
      <c r="BB103" s="58" t="s">
        <v>920</v>
      </c>
      <c r="BC103" s="58">
        <v>0.50745969925436596</v>
      </c>
      <c r="BD103" s="58">
        <v>18.342481283008379</v>
      </c>
      <c r="BE103" s="58">
        <v>45.464877805623757</v>
      </c>
      <c r="BF103" s="58">
        <v>3.9930507454119786</v>
      </c>
      <c r="BG103" s="58">
        <v>66.475372314453068</v>
      </c>
      <c r="BH103" s="58" t="s">
        <v>920</v>
      </c>
      <c r="BI103" s="58">
        <v>27.281531767070277</v>
      </c>
      <c r="BJ103" s="58">
        <v>2.7370791859658903</v>
      </c>
      <c r="BK103" s="58">
        <v>35.754128892699967</v>
      </c>
      <c r="BL103" s="58">
        <v>2.0004345302553772</v>
      </c>
      <c r="BM103" s="58">
        <v>37.332322758388372</v>
      </c>
      <c r="BN103" s="58" t="s">
        <v>920</v>
      </c>
      <c r="BO103" s="58">
        <v>53.560333541108122</v>
      </c>
      <c r="BP103" s="58" t="s">
        <v>920</v>
      </c>
      <c r="BQ103" s="58">
        <v>30.257606604001708</v>
      </c>
      <c r="BR103" s="58">
        <v>99.118788802028334</v>
      </c>
      <c r="BS103" s="58" t="s">
        <v>920</v>
      </c>
      <c r="BT103" s="58">
        <v>1.240268323076521</v>
      </c>
      <c r="BU103" s="58">
        <v>27.504028617878934</v>
      </c>
      <c r="BV103" s="58">
        <v>65.624999999847645</v>
      </c>
      <c r="BW103" s="58">
        <v>34.855209031579832</v>
      </c>
      <c r="BX103" s="58">
        <v>100</v>
      </c>
      <c r="BY103" s="58">
        <v>67.689755288262134</v>
      </c>
      <c r="BZ103" s="58">
        <v>24.640287769784173</v>
      </c>
      <c r="CA103" s="58">
        <v>63.99802026619048</v>
      </c>
      <c r="CB103" s="58" t="s">
        <v>920</v>
      </c>
      <c r="CC103" s="58">
        <v>59.233966356082803</v>
      </c>
      <c r="CD103" s="58" t="s">
        <v>920</v>
      </c>
      <c r="CE103" s="58">
        <v>53.031698306905092</v>
      </c>
      <c r="CF103" s="58">
        <v>38.398293128643445</v>
      </c>
      <c r="CG103" s="58">
        <v>2.1266376889985281</v>
      </c>
      <c r="CH103" s="58">
        <v>12.064343163538876</v>
      </c>
      <c r="CI103" s="58">
        <v>79.947916666666657</v>
      </c>
      <c r="CJ103" s="58">
        <v>57.397959183673478</v>
      </c>
      <c r="CK103" s="58">
        <v>46.319624244758245</v>
      </c>
      <c r="CL103" s="58">
        <v>17.777777777777779</v>
      </c>
      <c r="CM103" s="58" t="s">
        <v>920</v>
      </c>
      <c r="CN103" s="58">
        <v>72.727272727272734</v>
      </c>
      <c r="CO103" s="58">
        <v>54.359526372443476</v>
      </c>
      <c r="CP103" s="58">
        <v>33.202235938358655</v>
      </c>
      <c r="CQ103" s="58">
        <v>116</v>
      </c>
      <c r="CR103" s="58">
        <v>97</v>
      </c>
      <c r="CS103" s="58">
        <v>19</v>
      </c>
      <c r="CT103" s="58">
        <v>109</v>
      </c>
      <c r="CU103" s="58">
        <v>78</v>
      </c>
      <c r="CV103" s="58" t="s">
        <v>920</v>
      </c>
      <c r="CW103" s="58">
        <v>118</v>
      </c>
      <c r="CX103" s="58">
        <v>115</v>
      </c>
      <c r="CY103" s="58">
        <v>113</v>
      </c>
      <c r="CZ103" s="58">
        <v>51</v>
      </c>
      <c r="DA103" s="58">
        <v>75</v>
      </c>
      <c r="DB103" s="58">
        <v>57</v>
      </c>
      <c r="DC103" s="58" t="s">
        <v>920</v>
      </c>
      <c r="DD103" s="58">
        <v>124</v>
      </c>
      <c r="DE103" s="58">
        <v>55</v>
      </c>
      <c r="DF103" s="58">
        <v>75</v>
      </c>
      <c r="DG103" s="58">
        <v>121</v>
      </c>
      <c r="DH103" s="58">
        <v>76</v>
      </c>
      <c r="DI103" s="58" t="s">
        <v>920</v>
      </c>
      <c r="DJ103" s="58">
        <v>99</v>
      </c>
      <c r="DK103" s="58">
        <v>76</v>
      </c>
      <c r="DL103" s="58">
        <v>87</v>
      </c>
      <c r="DM103" s="58">
        <v>80</v>
      </c>
      <c r="DN103" s="58">
        <v>105</v>
      </c>
      <c r="DO103" s="58" t="s">
        <v>920</v>
      </c>
      <c r="DP103" s="58">
        <v>31</v>
      </c>
      <c r="DQ103" s="58" t="s">
        <v>920</v>
      </c>
      <c r="DR103" s="58">
        <v>115</v>
      </c>
      <c r="DS103" s="58">
        <v>20</v>
      </c>
      <c r="DT103" s="58" t="s">
        <v>920</v>
      </c>
      <c r="DU103" s="58">
        <v>116</v>
      </c>
      <c r="DV103" s="58">
        <v>101</v>
      </c>
      <c r="DW103" s="58">
        <v>76</v>
      </c>
      <c r="DX103" s="58">
        <v>78</v>
      </c>
      <c r="DY103" s="58">
        <v>1</v>
      </c>
      <c r="DZ103" s="58">
        <v>52</v>
      </c>
      <c r="EA103" s="58">
        <v>110</v>
      </c>
      <c r="EB103" s="58">
        <v>76</v>
      </c>
      <c r="EC103" s="58" t="s">
        <v>920</v>
      </c>
      <c r="ED103" s="58">
        <v>47</v>
      </c>
      <c r="EE103" s="58" t="s">
        <v>920</v>
      </c>
      <c r="EF103" s="58">
        <v>65</v>
      </c>
      <c r="EG103" s="58">
        <v>63</v>
      </c>
      <c r="EH103" s="58">
        <v>112</v>
      </c>
      <c r="EI103" s="58">
        <v>119</v>
      </c>
      <c r="EJ103" s="58">
        <v>46</v>
      </c>
      <c r="EK103" s="58">
        <v>85</v>
      </c>
      <c r="EL103" s="58">
        <v>105</v>
      </c>
      <c r="EM103" s="58">
        <v>116</v>
      </c>
      <c r="EN103" s="58" t="s">
        <v>920</v>
      </c>
      <c r="EO103" s="58">
        <v>78</v>
      </c>
      <c r="EP103" s="58">
        <v>106</v>
      </c>
      <c r="EQ103" s="58">
        <v>108</v>
      </c>
    </row>
    <row r="104" spans="1:147" x14ac:dyDescent="0.45">
      <c r="A104" t="s">
        <v>114</v>
      </c>
      <c r="B104" s="59" t="s">
        <v>391</v>
      </c>
      <c r="C104" s="37" t="s">
        <v>25</v>
      </c>
      <c r="D104" s="37" t="s">
        <v>882</v>
      </c>
      <c r="E104" s="104">
        <v>5354.6970000000001</v>
      </c>
      <c r="F104" s="104">
        <v>18078000</v>
      </c>
      <c r="G104" s="87">
        <v>39.025353236526151</v>
      </c>
      <c r="H104" s="1" t="s">
        <v>237</v>
      </c>
      <c r="I104" s="58">
        <v>98</v>
      </c>
      <c r="J104" s="87">
        <v>34.632185306790618</v>
      </c>
      <c r="K104" s="87">
        <v>23.213475909678223</v>
      </c>
      <c r="L104" s="87">
        <v>52.17507582720804</v>
      </c>
      <c r="M104" s="87">
        <v>46.080675902427707</v>
      </c>
      <c r="N104" s="58">
        <v>90</v>
      </c>
      <c r="O104" s="58">
        <v>118</v>
      </c>
      <c r="P104" s="58">
        <v>84</v>
      </c>
      <c r="Q104" s="58">
        <v>95</v>
      </c>
      <c r="R104" s="58">
        <v>51.931912551805837</v>
      </c>
      <c r="S104" s="58">
        <v>15.822889639474656</v>
      </c>
      <c r="T104" s="58">
        <v>36.141753729091363</v>
      </c>
      <c r="U104" s="58">
        <v>27.26956676184767</v>
      </c>
      <c r="V104" s="58">
        <v>22.78061706652959</v>
      </c>
      <c r="W104" s="58">
        <v>19.590243900657409</v>
      </c>
      <c r="X104" s="58">
        <v>42.770643773515616</v>
      </c>
      <c r="Y104" s="58">
        <v>55.159753332398211</v>
      </c>
      <c r="Z104" s="58">
        <v>58.594830375710295</v>
      </c>
      <c r="AA104" s="58">
        <v>25.788297753985773</v>
      </c>
      <c r="AB104" s="58">
        <v>54.176640335868434</v>
      </c>
      <c r="AC104" s="58">
        <v>58.277089617428906</v>
      </c>
      <c r="AD104" s="58">
        <v>102</v>
      </c>
      <c r="AE104" s="58">
        <v>97</v>
      </c>
      <c r="AF104" s="58">
        <v>59</v>
      </c>
      <c r="AG104" s="58">
        <v>117</v>
      </c>
      <c r="AH104" s="58">
        <v>97</v>
      </c>
      <c r="AI104" s="58">
        <v>115</v>
      </c>
      <c r="AJ104" s="58">
        <v>94</v>
      </c>
      <c r="AK104" s="58">
        <v>79</v>
      </c>
      <c r="AL104" s="58">
        <v>77</v>
      </c>
      <c r="AM104" s="58">
        <v>95</v>
      </c>
      <c r="AN104" s="58">
        <v>92</v>
      </c>
      <c r="AO104" s="58">
        <v>87</v>
      </c>
      <c r="AP104" s="58">
        <v>47.334154644881998</v>
      </c>
      <c r="AQ104" s="58">
        <v>36.409286676419107</v>
      </c>
      <c r="AR104" s="58" t="s">
        <v>920</v>
      </c>
      <c r="AS104" s="58">
        <v>97.368421052631575</v>
      </c>
      <c r="AT104" s="58">
        <v>51.937329749110198</v>
      </c>
      <c r="AU104" s="58">
        <v>26.610370635986303</v>
      </c>
      <c r="AV104" s="58">
        <v>0.99243801736101034</v>
      </c>
      <c r="AW104" s="58">
        <v>0.55158080195465442</v>
      </c>
      <c r="AX104" s="58">
        <v>56.978758490375178</v>
      </c>
      <c r="AY104" s="58">
        <v>4.7687812482077829</v>
      </c>
      <c r="AZ104" s="58">
        <v>50.050441086306598</v>
      </c>
      <c r="BA104" s="58">
        <v>41.25</v>
      </c>
      <c r="BB104" s="58" t="s">
        <v>920</v>
      </c>
      <c r="BC104" s="58">
        <v>17.124820100967504</v>
      </c>
      <c r="BD104" s="58">
        <v>9.5493220872431568</v>
      </c>
      <c r="BE104" s="58">
        <v>58.003020841747343</v>
      </c>
      <c r="BF104" s="58">
        <v>17.901586115094954</v>
      </c>
      <c r="BG104" s="58">
        <v>23.62433800330523</v>
      </c>
      <c r="BH104" s="58" t="s">
        <v>920</v>
      </c>
      <c r="BI104" s="58">
        <v>36.375375689427038</v>
      </c>
      <c r="BJ104" s="58">
        <v>15.799631612902912</v>
      </c>
      <c r="BK104" s="58">
        <v>38.169176393120949</v>
      </c>
      <c r="BL104" s="58">
        <v>0.77828457066745049</v>
      </c>
      <c r="BM104" s="58">
        <v>37.186751843697742</v>
      </c>
      <c r="BN104" s="58">
        <v>6.9724317226643917</v>
      </c>
      <c r="BO104" s="58">
        <v>25.184806907134679</v>
      </c>
      <c r="BP104" s="58">
        <v>9.0169851291328396</v>
      </c>
      <c r="BQ104" s="58">
        <v>31.511376934931235</v>
      </c>
      <c r="BR104" s="58">
        <v>60.761642594568954</v>
      </c>
      <c r="BS104" s="58">
        <v>54.311410196944252</v>
      </c>
      <c r="BT104" s="58">
        <v>24.498145367617997</v>
      </c>
      <c r="BU104" s="58">
        <v>33.592899191448296</v>
      </c>
      <c r="BV104" s="58">
        <v>67.499999999859355</v>
      </c>
      <c r="BW104" s="58">
        <v>56.176211726179048</v>
      </c>
      <c r="BX104" s="58">
        <v>75</v>
      </c>
      <c r="BY104" s="58">
        <v>43.52965574450436</v>
      </c>
      <c r="BZ104" s="58">
        <v>39.134574693186622</v>
      </c>
      <c r="CA104" s="58">
        <v>71.098656733134717</v>
      </c>
      <c r="CB104" s="58" t="s">
        <v>920</v>
      </c>
      <c r="CC104" s="58">
        <v>65.551259700809538</v>
      </c>
      <c r="CD104" s="58" t="s">
        <v>920</v>
      </c>
      <c r="CE104" s="58">
        <v>42.721838286440395</v>
      </c>
      <c r="CF104" s="58">
        <v>22.151137651221287</v>
      </c>
      <c r="CG104" s="58">
        <v>12.491917324295638</v>
      </c>
      <c r="CH104" s="58">
        <v>35.656836461126005</v>
      </c>
      <c r="CI104" s="58">
        <v>68.098958333333343</v>
      </c>
      <c r="CJ104" s="58">
        <v>68.367346938775512</v>
      </c>
      <c r="CK104" s="58">
        <v>49.180905487516391</v>
      </c>
      <c r="CL104" s="58">
        <v>33.333333333333329</v>
      </c>
      <c r="CM104" s="58" t="s">
        <v>920</v>
      </c>
      <c r="CN104" s="58">
        <v>60</v>
      </c>
      <c r="CO104" s="58">
        <v>75.888051668460704</v>
      </c>
      <c r="CP104" s="58">
        <v>44.553101034318729</v>
      </c>
      <c r="CQ104" s="58">
        <v>102</v>
      </c>
      <c r="CR104" s="58">
        <v>103</v>
      </c>
      <c r="CS104" s="58" t="s">
        <v>920</v>
      </c>
      <c r="CT104" s="58">
        <v>57</v>
      </c>
      <c r="CU104" s="58">
        <v>124</v>
      </c>
      <c r="CV104" s="58">
        <v>76</v>
      </c>
      <c r="CW104" s="58">
        <v>110</v>
      </c>
      <c r="CX104" s="58">
        <v>103</v>
      </c>
      <c r="CY104" s="58">
        <v>86</v>
      </c>
      <c r="CZ104" s="58">
        <v>67</v>
      </c>
      <c r="DA104" s="58">
        <v>79</v>
      </c>
      <c r="DB104" s="58">
        <v>58</v>
      </c>
      <c r="DC104" s="58" t="s">
        <v>920</v>
      </c>
      <c r="DD104" s="58">
        <v>65</v>
      </c>
      <c r="DE104" s="58">
        <v>80</v>
      </c>
      <c r="DF104" s="58">
        <v>47</v>
      </c>
      <c r="DG104" s="58">
        <v>110</v>
      </c>
      <c r="DH104" s="58">
        <v>93</v>
      </c>
      <c r="DI104" s="58" t="s">
        <v>920</v>
      </c>
      <c r="DJ104" s="58">
        <v>88</v>
      </c>
      <c r="DK104" s="58">
        <v>35</v>
      </c>
      <c r="DL104" s="58">
        <v>75</v>
      </c>
      <c r="DM104" s="58">
        <v>99</v>
      </c>
      <c r="DN104" s="58">
        <v>106</v>
      </c>
      <c r="DO104" s="58">
        <v>90</v>
      </c>
      <c r="DP104" s="58">
        <v>89</v>
      </c>
      <c r="DQ104" s="58">
        <v>60</v>
      </c>
      <c r="DR104" s="58">
        <v>113</v>
      </c>
      <c r="DS104" s="58">
        <v>94</v>
      </c>
      <c r="DT104" s="58">
        <v>22</v>
      </c>
      <c r="DU104" s="58">
        <v>64</v>
      </c>
      <c r="DV104" s="58">
        <v>90</v>
      </c>
      <c r="DW104" s="58">
        <v>74</v>
      </c>
      <c r="DX104" s="58">
        <v>44</v>
      </c>
      <c r="DY104" s="58">
        <v>72</v>
      </c>
      <c r="DZ104" s="58">
        <v>96</v>
      </c>
      <c r="EA104" s="58">
        <v>95</v>
      </c>
      <c r="EB104" s="58">
        <v>68</v>
      </c>
      <c r="EC104" s="58" t="s">
        <v>920</v>
      </c>
      <c r="ED104" s="58">
        <v>38</v>
      </c>
      <c r="EE104" s="58" t="s">
        <v>920</v>
      </c>
      <c r="EF104" s="58">
        <v>92</v>
      </c>
      <c r="EG104" s="58">
        <v>93</v>
      </c>
      <c r="EH104" s="58">
        <v>65</v>
      </c>
      <c r="EI104" s="58">
        <v>98</v>
      </c>
      <c r="EJ104" s="58">
        <v>69</v>
      </c>
      <c r="EK104" s="58">
        <v>67</v>
      </c>
      <c r="EL104" s="58">
        <v>99</v>
      </c>
      <c r="EM104" s="58">
        <v>108</v>
      </c>
      <c r="EN104" s="58" t="s">
        <v>920</v>
      </c>
      <c r="EO104" s="58">
        <v>106</v>
      </c>
      <c r="EP104" s="58">
        <v>62</v>
      </c>
      <c r="EQ104" s="58">
        <v>86</v>
      </c>
    </row>
    <row r="105" spans="1:147" x14ac:dyDescent="0.45">
      <c r="A105" t="s">
        <v>113</v>
      </c>
      <c r="B105" s="59" t="s">
        <v>382</v>
      </c>
      <c r="C105" s="37" t="s">
        <v>37</v>
      </c>
      <c r="D105" s="37" t="s">
        <v>881</v>
      </c>
      <c r="E105" s="104">
        <v>13876.768</v>
      </c>
      <c r="F105" s="104">
        <v>6310000</v>
      </c>
      <c r="G105" s="87">
        <v>38.616751325605179</v>
      </c>
      <c r="H105" s="1" t="s">
        <v>236</v>
      </c>
      <c r="I105" s="58">
        <v>99</v>
      </c>
      <c r="J105" s="87">
        <v>32.09286406988614</v>
      </c>
      <c r="K105" s="87">
        <v>34.431337787529806</v>
      </c>
      <c r="L105" s="87">
        <v>34.415553547311937</v>
      </c>
      <c r="M105" s="87">
        <v>53.527249897692819</v>
      </c>
      <c r="N105" s="58">
        <v>95</v>
      </c>
      <c r="O105" s="58">
        <v>89</v>
      </c>
      <c r="P105" s="58">
        <v>117</v>
      </c>
      <c r="Q105" s="58">
        <v>62</v>
      </c>
      <c r="R105" s="58">
        <v>61.642608014227001</v>
      </c>
      <c r="S105" s="58">
        <v>14.342721063958559</v>
      </c>
      <c r="T105" s="58">
        <v>20.293263131472873</v>
      </c>
      <c r="U105" s="58">
        <v>45.329691340855447</v>
      </c>
      <c r="V105" s="58">
        <v>35.585128367548435</v>
      </c>
      <c r="W105" s="58">
        <v>22.379193654185546</v>
      </c>
      <c r="X105" s="58">
        <v>22.446119726401783</v>
      </c>
      <c r="Y105" s="58">
        <v>49.067360996347944</v>
      </c>
      <c r="Z105" s="58">
        <v>31.733179919186078</v>
      </c>
      <c r="AA105" s="58">
        <v>23.202231626308027</v>
      </c>
      <c r="AB105" s="58">
        <v>74.881010237018245</v>
      </c>
      <c r="AC105" s="58">
        <v>62.498507829752185</v>
      </c>
      <c r="AD105" s="58">
        <v>81</v>
      </c>
      <c r="AE105" s="58">
        <v>101</v>
      </c>
      <c r="AF105" s="58">
        <v>108</v>
      </c>
      <c r="AG105" s="58">
        <v>88</v>
      </c>
      <c r="AH105" s="58">
        <v>46</v>
      </c>
      <c r="AI105" s="58">
        <v>110</v>
      </c>
      <c r="AJ105" s="58">
        <v>120</v>
      </c>
      <c r="AK105" s="58">
        <v>103</v>
      </c>
      <c r="AL105" s="58">
        <v>114</v>
      </c>
      <c r="AM105" s="58">
        <v>104</v>
      </c>
      <c r="AN105" s="58">
        <v>34</v>
      </c>
      <c r="AO105" s="58">
        <v>68</v>
      </c>
      <c r="AP105" s="58">
        <v>49.005274995181601</v>
      </c>
      <c r="AQ105" s="58">
        <v>64.063200450554419</v>
      </c>
      <c r="AR105" s="58">
        <v>8.2519217933447582</v>
      </c>
      <c r="AS105" s="58">
        <v>84.210526315789465</v>
      </c>
      <c r="AT105" s="58">
        <v>69.953417157444946</v>
      </c>
      <c r="AU105" s="58">
        <v>94.371307373046804</v>
      </c>
      <c r="AV105" s="58">
        <v>5.5194226006825442</v>
      </c>
      <c r="AW105" s="58">
        <v>1.5332115487940183</v>
      </c>
      <c r="AX105" s="58">
        <v>50.266692956033943</v>
      </c>
      <c r="AY105" s="58">
        <v>5.1557150323733703E-2</v>
      </c>
      <c r="AZ105" s="58">
        <v>38.940173535741849</v>
      </c>
      <c r="BA105" s="58">
        <v>18.999999999999993</v>
      </c>
      <c r="BB105" s="58" t="s">
        <v>920</v>
      </c>
      <c r="BC105" s="58">
        <v>2.9396158586767727</v>
      </c>
      <c r="BD105" s="58">
        <v>1.5259957860410334</v>
      </c>
      <c r="BE105" s="58">
        <v>31.755783315185653</v>
      </c>
      <c r="BF105" s="58">
        <v>63.42160164681048</v>
      </c>
      <c r="BG105" s="58">
        <v>84.615384615384613</v>
      </c>
      <c r="BH105" s="58" t="s">
        <v>920</v>
      </c>
      <c r="BI105" s="58">
        <v>67.294445025440012</v>
      </c>
      <c r="BJ105" s="58" t="s">
        <v>920</v>
      </c>
      <c r="BK105" s="58">
        <v>37.629381081756677</v>
      </c>
      <c r="BL105" s="58">
        <v>1.8315589954486207</v>
      </c>
      <c r="BM105" s="58">
        <v>40.925879140048849</v>
      </c>
      <c r="BN105" s="58">
        <v>11.378868715499969</v>
      </c>
      <c r="BO105" s="58">
        <v>35.046348796283084</v>
      </c>
      <c r="BP105" s="58">
        <v>2.1656779649102793</v>
      </c>
      <c r="BQ105" s="58">
        <v>41.899326760759216</v>
      </c>
      <c r="BR105" s="58">
        <v>24.659717390528531</v>
      </c>
      <c r="BS105" s="58">
        <v>13.420840309408277</v>
      </c>
      <c r="BT105" s="58">
        <v>9.8045944449111069</v>
      </c>
      <c r="BU105" s="58">
        <v>34.523166260667509</v>
      </c>
      <c r="BV105" s="58">
        <v>42.812499999642576</v>
      </c>
      <c r="BW105" s="58">
        <v>19.141744279289458</v>
      </c>
      <c r="BX105" s="58">
        <v>50</v>
      </c>
      <c r="BY105" s="58">
        <v>98.859394442140186</v>
      </c>
      <c r="BZ105" s="58">
        <v>34.786288616165891</v>
      </c>
      <c r="CA105" s="58">
        <v>3.8063264830699279</v>
      </c>
      <c r="CB105" s="58">
        <v>52.139696709708637</v>
      </c>
      <c r="CC105" s="58">
        <v>36.200407867799854</v>
      </c>
      <c r="CD105" s="58">
        <v>0</v>
      </c>
      <c r="CE105" s="58">
        <v>41.580260988068908</v>
      </c>
      <c r="CF105" s="58">
        <v>28.642488093246683</v>
      </c>
      <c r="CG105" s="58">
        <v>22.586177423916524</v>
      </c>
      <c r="CH105" s="58">
        <v>72.207327971403046</v>
      </c>
      <c r="CI105" s="58">
        <v>92.578124999999986</v>
      </c>
      <c r="CJ105" s="58">
        <v>59.183673469387763</v>
      </c>
      <c r="CK105" s="58">
        <v>60.531482009915663</v>
      </c>
      <c r="CL105" s="58">
        <v>95.555555555555557</v>
      </c>
      <c r="CM105" s="58">
        <v>9.5442673941623877</v>
      </c>
      <c r="CN105" s="58">
        <v>83.636363636363626</v>
      </c>
      <c r="CO105" s="58">
        <v>78.148546824542507</v>
      </c>
      <c r="CP105" s="58">
        <v>61.774151372324852</v>
      </c>
      <c r="CQ105" s="58">
        <v>99</v>
      </c>
      <c r="CR105" s="58">
        <v>65</v>
      </c>
      <c r="CS105" s="58">
        <v>114</v>
      </c>
      <c r="CT105" s="58">
        <v>91</v>
      </c>
      <c r="CU105" s="58">
        <v>71</v>
      </c>
      <c r="CV105" s="58">
        <v>45</v>
      </c>
      <c r="CW105" s="58">
        <v>71</v>
      </c>
      <c r="CX105" s="58">
        <v>88</v>
      </c>
      <c r="CY105" s="58">
        <v>98</v>
      </c>
      <c r="CZ105" s="58">
        <v>122</v>
      </c>
      <c r="DA105" s="58">
        <v>94</v>
      </c>
      <c r="DB105" s="58">
        <v>118</v>
      </c>
      <c r="DC105" s="58" t="s">
        <v>920</v>
      </c>
      <c r="DD105" s="58">
        <v>109</v>
      </c>
      <c r="DE105" s="58">
        <v>116</v>
      </c>
      <c r="DF105" s="58">
        <v>94</v>
      </c>
      <c r="DG105" s="58">
        <v>72</v>
      </c>
      <c r="DH105" s="58">
        <v>60</v>
      </c>
      <c r="DI105" s="58" t="s">
        <v>920</v>
      </c>
      <c r="DJ105" s="58">
        <v>40</v>
      </c>
      <c r="DK105" s="58" t="s">
        <v>920</v>
      </c>
      <c r="DL105" s="58">
        <v>79</v>
      </c>
      <c r="DM105" s="58">
        <v>85</v>
      </c>
      <c r="DN105" s="58">
        <v>101</v>
      </c>
      <c r="DO105" s="58">
        <v>87</v>
      </c>
      <c r="DP105" s="58">
        <v>68</v>
      </c>
      <c r="DQ105" s="58">
        <v>91</v>
      </c>
      <c r="DR105" s="58">
        <v>98</v>
      </c>
      <c r="DS105" s="58">
        <v>116</v>
      </c>
      <c r="DT105" s="58">
        <v>50</v>
      </c>
      <c r="DU105" s="58">
        <v>92</v>
      </c>
      <c r="DV105" s="58">
        <v>89</v>
      </c>
      <c r="DW105" s="58">
        <v>107</v>
      </c>
      <c r="DX105" s="58">
        <v>102</v>
      </c>
      <c r="DY105" s="58">
        <v>107</v>
      </c>
      <c r="DZ105" s="58">
        <v>3</v>
      </c>
      <c r="EA105" s="58">
        <v>102</v>
      </c>
      <c r="EB105" s="58">
        <v>122</v>
      </c>
      <c r="EC105" s="58">
        <v>89</v>
      </c>
      <c r="ED105" s="58">
        <v>63</v>
      </c>
      <c r="EE105" s="58">
        <v>81</v>
      </c>
      <c r="EF105" s="58">
        <v>95</v>
      </c>
      <c r="EG105" s="58">
        <v>79</v>
      </c>
      <c r="EH105" s="58">
        <v>45</v>
      </c>
      <c r="EI105" s="58">
        <v>34</v>
      </c>
      <c r="EJ105" s="58">
        <v>11</v>
      </c>
      <c r="EK105" s="58">
        <v>81</v>
      </c>
      <c r="EL105" s="58">
        <v>80</v>
      </c>
      <c r="EM105" s="58">
        <v>46</v>
      </c>
      <c r="EN105" s="58">
        <v>76</v>
      </c>
      <c r="EO105" s="58">
        <v>47</v>
      </c>
      <c r="EP105" s="58">
        <v>55</v>
      </c>
      <c r="EQ105" s="58">
        <v>68</v>
      </c>
    </row>
    <row r="106" spans="1:147" x14ac:dyDescent="0.45">
      <c r="A106" t="s">
        <v>390</v>
      </c>
      <c r="B106" s="59" t="s">
        <v>389</v>
      </c>
      <c r="C106" s="37" t="s">
        <v>25</v>
      </c>
      <c r="D106" s="37" t="s">
        <v>882</v>
      </c>
      <c r="E106" s="104">
        <v>8112.6729999999998</v>
      </c>
      <c r="F106" s="104">
        <v>31166000</v>
      </c>
      <c r="G106" s="87">
        <v>38.265187698353877</v>
      </c>
      <c r="H106" s="1" t="s">
        <v>246</v>
      </c>
      <c r="I106" s="58">
        <v>100</v>
      </c>
      <c r="J106" s="87">
        <v>33.45656469652932</v>
      </c>
      <c r="K106" s="87">
        <v>29.466539833582772</v>
      </c>
      <c r="L106" s="87">
        <v>43.298396656062181</v>
      </c>
      <c r="M106" s="87">
        <v>46.839249607241236</v>
      </c>
      <c r="N106" s="58">
        <v>94</v>
      </c>
      <c r="O106" s="58">
        <v>105</v>
      </c>
      <c r="P106" s="58">
        <v>103</v>
      </c>
      <c r="Q106" s="58">
        <v>91</v>
      </c>
      <c r="R106" s="58">
        <v>58.65658470952917</v>
      </c>
      <c r="S106" s="58">
        <v>10.546857351899032</v>
      </c>
      <c r="T106" s="58">
        <v>31.166252028159757</v>
      </c>
      <c r="U106" s="58">
        <v>29.959492564967608</v>
      </c>
      <c r="V106" s="58">
        <v>25.838156392023691</v>
      </c>
      <c r="W106" s="58">
        <v>32.60197054375702</v>
      </c>
      <c r="X106" s="58">
        <v>38.430968295557641</v>
      </c>
      <c r="Y106" s="58">
        <v>53.187528664913728</v>
      </c>
      <c r="Z106" s="58">
        <v>38.276693007715181</v>
      </c>
      <c r="AA106" s="58">
        <v>29.273645166161188</v>
      </c>
      <c r="AB106" s="58">
        <v>49.781840669145275</v>
      </c>
      <c r="AC106" s="58">
        <v>61.462262986417244</v>
      </c>
      <c r="AD106" s="58">
        <v>88</v>
      </c>
      <c r="AE106" s="58">
        <v>115</v>
      </c>
      <c r="AF106" s="58">
        <v>78</v>
      </c>
      <c r="AG106" s="58">
        <v>113</v>
      </c>
      <c r="AH106" s="58">
        <v>80</v>
      </c>
      <c r="AI106" s="58">
        <v>88</v>
      </c>
      <c r="AJ106" s="58">
        <v>101</v>
      </c>
      <c r="AK106" s="58">
        <v>84</v>
      </c>
      <c r="AL106" s="58">
        <v>113</v>
      </c>
      <c r="AM106" s="58">
        <v>79</v>
      </c>
      <c r="AN106" s="58">
        <v>96</v>
      </c>
      <c r="AO106" s="58">
        <v>72</v>
      </c>
      <c r="AP106" s="58">
        <v>45.338484404295002</v>
      </c>
      <c r="AQ106" s="58">
        <v>48.734319095566526</v>
      </c>
      <c r="AR106" s="58">
        <v>35.716218681937121</v>
      </c>
      <c r="AS106" s="58">
        <v>91.052631578947356</v>
      </c>
      <c r="AT106" s="58">
        <v>72.441269786899866</v>
      </c>
      <c r="AU106" s="58" t="s">
        <v>920</v>
      </c>
      <c r="AV106" s="58">
        <v>0.29436269592062803</v>
      </c>
      <c r="AW106" s="58">
        <v>0.38592368430309454</v>
      </c>
      <c r="AX106" s="58">
        <v>40.720752190919676</v>
      </c>
      <c r="AY106" s="58">
        <v>0.78639083645272845</v>
      </c>
      <c r="AZ106" s="58">
        <v>63.750401170555278</v>
      </c>
      <c r="BA106" s="58">
        <v>28.500000000000004</v>
      </c>
      <c r="BB106" s="58" t="s">
        <v>920</v>
      </c>
      <c r="BC106" s="58">
        <v>1.2483549139239938</v>
      </c>
      <c r="BD106" s="58">
        <v>15.086025489482658</v>
      </c>
      <c r="BE106" s="58">
        <v>64.549276778665245</v>
      </c>
      <c r="BF106" s="58">
        <v>17.12475896227544</v>
      </c>
      <c r="BG106" s="58">
        <v>23.077909029447081</v>
      </c>
      <c r="BH106" s="58" t="s">
        <v>920</v>
      </c>
      <c r="BI106" s="58">
        <v>54.222044387052179</v>
      </c>
      <c r="BJ106" s="58">
        <v>5.1139716941588755</v>
      </c>
      <c r="BK106" s="58">
        <v>42.020726906603784</v>
      </c>
      <c r="BL106" s="58">
        <v>1.995882580279926</v>
      </c>
      <c r="BM106" s="58">
        <v>42.486254977683132</v>
      </c>
      <c r="BN106" s="58">
        <v>35.850812241669253</v>
      </c>
      <c r="BO106" s="58">
        <v>51.057273243865012</v>
      </c>
      <c r="BP106" s="58">
        <v>1.0135417118106982</v>
      </c>
      <c r="BQ106" s="58">
        <v>31.692082951743622</v>
      </c>
      <c r="BR106" s="58">
        <v>74.708296045196292</v>
      </c>
      <c r="BS106" s="58" t="s">
        <v>920</v>
      </c>
      <c r="BT106" s="58">
        <v>8.8925258897330259</v>
      </c>
      <c r="BU106" s="58">
        <v>39.323489357044515</v>
      </c>
      <c r="BV106" s="58">
        <v>51.249999999695305</v>
      </c>
      <c r="BW106" s="58">
        <v>46.558679061151082</v>
      </c>
      <c r="BX106" s="58">
        <v>100</v>
      </c>
      <c r="BY106" s="58">
        <v>28.805474906677723</v>
      </c>
      <c r="BZ106" s="58">
        <v>37.685146000846373</v>
      </c>
      <c r="CA106" s="58">
        <v>49.92669020803001</v>
      </c>
      <c r="CB106" s="58">
        <v>23.22934367923957</v>
      </c>
      <c r="CC106" s="58">
        <v>42.265592142744765</v>
      </c>
      <c r="CD106" s="58" t="s">
        <v>920</v>
      </c>
      <c r="CE106" s="58">
        <v>52.086816061271705</v>
      </c>
      <c r="CF106" s="58">
        <v>32.468114519453216</v>
      </c>
      <c r="CG106" s="58">
        <v>3.2660049177586457</v>
      </c>
      <c r="CH106" s="58">
        <v>41.152815013404833</v>
      </c>
      <c r="CI106" s="58">
        <v>54.296875</v>
      </c>
      <c r="CJ106" s="58">
        <v>70.663265306122454</v>
      </c>
      <c r="CK106" s="58">
        <v>37.128398681939544</v>
      </c>
      <c r="CL106" s="58">
        <v>17.777777777777779</v>
      </c>
      <c r="CM106" s="58" t="s">
        <v>920</v>
      </c>
      <c r="CN106" s="58">
        <v>92.72727272727272</v>
      </c>
      <c r="CO106" s="58">
        <v>75.565123789020447</v>
      </c>
      <c r="CP106" s="58">
        <v>14.411007108139344</v>
      </c>
      <c r="CQ106" s="58">
        <v>104</v>
      </c>
      <c r="CR106" s="58">
        <v>86</v>
      </c>
      <c r="CS106" s="58">
        <v>51</v>
      </c>
      <c r="CT106" s="58">
        <v>80</v>
      </c>
      <c r="CU106" s="58">
        <v>58</v>
      </c>
      <c r="CV106" s="58" t="s">
        <v>920</v>
      </c>
      <c r="CW106" s="58">
        <v>120</v>
      </c>
      <c r="CX106" s="58">
        <v>108</v>
      </c>
      <c r="CY106" s="58">
        <v>110</v>
      </c>
      <c r="CZ106" s="58">
        <v>100</v>
      </c>
      <c r="DA106" s="58">
        <v>56</v>
      </c>
      <c r="DB106" s="58">
        <v>97</v>
      </c>
      <c r="DC106" s="58" t="s">
        <v>920</v>
      </c>
      <c r="DD106" s="58">
        <v>118</v>
      </c>
      <c r="DE106" s="58">
        <v>65</v>
      </c>
      <c r="DF106" s="58">
        <v>39</v>
      </c>
      <c r="DG106" s="58">
        <v>111</v>
      </c>
      <c r="DH106" s="58">
        <v>94</v>
      </c>
      <c r="DI106" s="58" t="s">
        <v>920</v>
      </c>
      <c r="DJ106" s="58">
        <v>63</v>
      </c>
      <c r="DK106" s="58">
        <v>64</v>
      </c>
      <c r="DL106" s="58">
        <v>61</v>
      </c>
      <c r="DM106" s="58">
        <v>81</v>
      </c>
      <c r="DN106" s="58">
        <v>98</v>
      </c>
      <c r="DO106" s="58">
        <v>51</v>
      </c>
      <c r="DP106" s="58">
        <v>35</v>
      </c>
      <c r="DQ106" s="58">
        <v>100</v>
      </c>
      <c r="DR106" s="58">
        <v>112</v>
      </c>
      <c r="DS106" s="58">
        <v>83</v>
      </c>
      <c r="DT106" s="58" t="s">
        <v>920</v>
      </c>
      <c r="DU106" s="58">
        <v>95</v>
      </c>
      <c r="DV106" s="58">
        <v>76</v>
      </c>
      <c r="DW106" s="58">
        <v>95</v>
      </c>
      <c r="DX106" s="58">
        <v>56</v>
      </c>
      <c r="DY106" s="58">
        <v>1</v>
      </c>
      <c r="DZ106" s="58">
        <v>113</v>
      </c>
      <c r="EA106" s="58">
        <v>98</v>
      </c>
      <c r="EB106" s="58">
        <v>93</v>
      </c>
      <c r="EC106" s="58">
        <v>99</v>
      </c>
      <c r="ED106" s="58">
        <v>59</v>
      </c>
      <c r="EE106" s="58" t="s">
        <v>920</v>
      </c>
      <c r="EF106" s="58">
        <v>72</v>
      </c>
      <c r="EG106" s="58">
        <v>72</v>
      </c>
      <c r="EH106" s="58">
        <v>105</v>
      </c>
      <c r="EI106" s="58">
        <v>92</v>
      </c>
      <c r="EJ106" s="58">
        <v>101</v>
      </c>
      <c r="EK106" s="58">
        <v>61</v>
      </c>
      <c r="EL106" s="58">
        <v>112</v>
      </c>
      <c r="EM106" s="58">
        <v>116</v>
      </c>
      <c r="EN106" s="58" t="s">
        <v>920</v>
      </c>
      <c r="EO106" s="58">
        <v>25</v>
      </c>
      <c r="EP106" s="58">
        <v>63</v>
      </c>
      <c r="EQ106" s="58">
        <v>123</v>
      </c>
    </row>
    <row r="107" spans="1:147" x14ac:dyDescent="0.45">
      <c r="A107" t="s">
        <v>102</v>
      </c>
      <c r="B107" s="59" t="s">
        <v>607</v>
      </c>
      <c r="C107" s="37" t="s">
        <v>37</v>
      </c>
      <c r="D107" s="37" t="s">
        <v>880</v>
      </c>
      <c r="E107" s="104">
        <v>35899.578000000001</v>
      </c>
      <c r="F107" s="104">
        <v>1503000</v>
      </c>
      <c r="G107" s="87">
        <v>37.100361926536209</v>
      </c>
      <c r="H107" s="1" t="s">
        <v>224</v>
      </c>
      <c r="I107" s="58">
        <v>101</v>
      </c>
      <c r="J107" s="87">
        <v>28.490822171497552</v>
      </c>
      <c r="K107" s="87">
        <v>27.755622310742964</v>
      </c>
      <c r="L107" s="87">
        <v>51.615700020119277</v>
      </c>
      <c r="M107" s="87">
        <v>40.539303203785053</v>
      </c>
      <c r="N107" s="58">
        <v>107</v>
      </c>
      <c r="O107" s="58">
        <v>107</v>
      </c>
      <c r="P107" s="58">
        <v>87</v>
      </c>
      <c r="Q107" s="58">
        <v>109</v>
      </c>
      <c r="R107" s="58">
        <v>57.900816703267935</v>
      </c>
      <c r="S107" s="58">
        <v>10.19233998256577</v>
      </c>
      <c r="T107" s="58">
        <v>17.379309828658947</v>
      </c>
      <c r="U107" s="58">
        <v>31.460025477822342</v>
      </c>
      <c r="V107" s="58">
        <v>27.96887141941767</v>
      </c>
      <c r="W107" s="58">
        <v>23.837970034988881</v>
      </c>
      <c r="X107" s="58">
        <v>48.485065668258684</v>
      </c>
      <c r="Y107" s="58">
        <v>50.484801578526799</v>
      </c>
      <c r="Z107" s="58">
        <v>55.877232813572348</v>
      </c>
      <c r="AA107" s="58">
        <v>13.594383922991762</v>
      </c>
      <c r="AB107" s="58">
        <v>62.44516796631774</v>
      </c>
      <c r="AC107" s="58">
        <v>45.578357722045652</v>
      </c>
      <c r="AD107" s="58">
        <v>90</v>
      </c>
      <c r="AE107" s="58">
        <v>116</v>
      </c>
      <c r="AF107" s="58">
        <v>116</v>
      </c>
      <c r="AG107" s="58">
        <v>110</v>
      </c>
      <c r="AH107" s="58">
        <v>74</v>
      </c>
      <c r="AI107" s="58">
        <v>105</v>
      </c>
      <c r="AJ107" s="58">
        <v>75</v>
      </c>
      <c r="AK107" s="58">
        <v>94</v>
      </c>
      <c r="AL107" s="58">
        <v>84</v>
      </c>
      <c r="AM107" s="58">
        <v>125</v>
      </c>
      <c r="AN107" s="58">
        <v>75</v>
      </c>
      <c r="AO107" s="58">
        <v>114</v>
      </c>
      <c r="AP107" s="58">
        <v>43.815176337093703</v>
      </c>
      <c r="AQ107" s="58">
        <v>60.642089733844486</v>
      </c>
      <c r="AR107" s="58">
        <v>18.268353010203008</v>
      </c>
      <c r="AS107" s="58">
        <v>100</v>
      </c>
      <c r="AT107" s="58">
        <v>66.778464435198501</v>
      </c>
      <c r="AU107" s="58" t="s">
        <v>920</v>
      </c>
      <c r="AV107" s="58">
        <v>4.749131290180892</v>
      </c>
      <c r="AW107" s="58">
        <v>2.4247363422094286</v>
      </c>
      <c r="AX107" s="58">
        <v>33.57581533236295</v>
      </c>
      <c r="AY107" s="58">
        <v>1.9676965509811493E-2</v>
      </c>
      <c r="AZ107" s="58" t="s">
        <v>920</v>
      </c>
      <c r="BA107" s="58">
        <v>22.250000000000004</v>
      </c>
      <c r="BB107" s="58" t="s">
        <v>920</v>
      </c>
      <c r="BC107" s="58">
        <v>12.508619657317887</v>
      </c>
      <c r="BD107" s="58">
        <v>1.8325855919702858</v>
      </c>
      <c r="BE107" s="58" t="s">
        <v>920</v>
      </c>
      <c r="BF107" s="58">
        <v>61.087465363674397</v>
      </c>
      <c r="BG107" s="58" t="s">
        <v>920</v>
      </c>
      <c r="BH107" s="58" t="s">
        <v>920</v>
      </c>
      <c r="BI107" s="58">
        <v>52.630621700639743</v>
      </c>
      <c r="BJ107" s="58" t="s">
        <v>920</v>
      </c>
      <c r="BK107" s="58">
        <v>29.795529390952584</v>
      </c>
      <c r="BL107" s="58">
        <v>1.4804631666606876</v>
      </c>
      <c r="BM107" s="58">
        <v>51.864149853827556</v>
      </c>
      <c r="BN107" s="58">
        <v>18.98241143125907</v>
      </c>
      <c r="BO107" s="58" t="s">
        <v>920</v>
      </c>
      <c r="BP107" s="58">
        <v>0.66734881988002304</v>
      </c>
      <c r="BQ107" s="58">
        <v>49.567211219252513</v>
      </c>
      <c r="BR107" s="58">
        <v>47.402920117264856</v>
      </c>
      <c r="BS107" s="58" t="s">
        <v>920</v>
      </c>
      <c r="BT107" s="58" t="s">
        <v>920</v>
      </c>
      <c r="BU107" s="58">
        <v>38.956787095726376</v>
      </c>
      <c r="BV107" s="58">
        <v>90.624999999941409</v>
      </c>
      <c r="BW107" s="58">
        <v>11.664286329940104</v>
      </c>
      <c r="BX107" s="58">
        <v>50</v>
      </c>
      <c r="BY107" s="58">
        <v>61.177934467026127</v>
      </c>
      <c r="BZ107" s="58">
        <v>28.988573846804904</v>
      </c>
      <c r="CA107" s="58">
        <v>82.765891780339786</v>
      </c>
      <c r="CB107" s="58" t="s">
        <v>920</v>
      </c>
      <c r="CC107" s="58" t="s">
        <v>920</v>
      </c>
      <c r="CD107" s="58">
        <v>0</v>
      </c>
      <c r="CE107" s="58">
        <v>36.212978687799151</v>
      </c>
      <c r="CF107" s="58" t="s">
        <v>920</v>
      </c>
      <c r="CG107" s="58">
        <v>4.5701730811761365</v>
      </c>
      <c r="CH107" s="58">
        <v>59.092940125111717</v>
      </c>
      <c r="CI107" s="58">
        <v>67.1875</v>
      </c>
      <c r="CJ107" s="58" t="s">
        <v>920</v>
      </c>
      <c r="CK107" s="58">
        <v>59.66495958136526</v>
      </c>
      <c r="CL107" s="58">
        <v>88.888888888888886</v>
      </c>
      <c r="CM107" s="58">
        <v>35.428470538492235</v>
      </c>
      <c r="CN107" s="58">
        <v>63.636363636363633</v>
      </c>
      <c r="CO107" s="58">
        <v>0</v>
      </c>
      <c r="CP107" s="58">
        <v>77.60830453776461</v>
      </c>
      <c r="CQ107" s="58">
        <v>108</v>
      </c>
      <c r="CR107" s="58">
        <v>72</v>
      </c>
      <c r="CS107" s="58">
        <v>97</v>
      </c>
      <c r="CT107" s="58">
        <v>1</v>
      </c>
      <c r="CU107" s="58">
        <v>93</v>
      </c>
      <c r="CV107" s="58" t="s">
        <v>920</v>
      </c>
      <c r="CW107" s="58">
        <v>79</v>
      </c>
      <c r="CX107" s="58">
        <v>77</v>
      </c>
      <c r="CY107" s="58">
        <v>116</v>
      </c>
      <c r="CZ107" s="58">
        <v>123</v>
      </c>
      <c r="DA107" s="58" t="s">
        <v>920</v>
      </c>
      <c r="DB107" s="58">
        <v>112</v>
      </c>
      <c r="DC107" s="58" t="s">
        <v>920</v>
      </c>
      <c r="DD107" s="58">
        <v>75</v>
      </c>
      <c r="DE107" s="58">
        <v>114</v>
      </c>
      <c r="DF107" s="58" t="s">
        <v>920</v>
      </c>
      <c r="DG107" s="58">
        <v>75</v>
      </c>
      <c r="DH107" s="58" t="s">
        <v>920</v>
      </c>
      <c r="DI107" s="58" t="s">
        <v>920</v>
      </c>
      <c r="DJ107" s="58">
        <v>66</v>
      </c>
      <c r="DK107" s="58" t="s">
        <v>920</v>
      </c>
      <c r="DL107" s="58">
        <v>109</v>
      </c>
      <c r="DM107" s="58">
        <v>86</v>
      </c>
      <c r="DN107" s="58">
        <v>89</v>
      </c>
      <c r="DO107" s="58">
        <v>76</v>
      </c>
      <c r="DP107" s="58" t="s">
        <v>920</v>
      </c>
      <c r="DQ107" s="58">
        <v>104</v>
      </c>
      <c r="DR107" s="58">
        <v>86</v>
      </c>
      <c r="DS107" s="58">
        <v>107</v>
      </c>
      <c r="DT107" s="58" t="s">
        <v>920</v>
      </c>
      <c r="DU107" s="58" t="s">
        <v>920</v>
      </c>
      <c r="DV107" s="58">
        <v>77</v>
      </c>
      <c r="DW107" s="58">
        <v>16</v>
      </c>
      <c r="DX107" s="58">
        <v>107</v>
      </c>
      <c r="DY107" s="58">
        <v>107</v>
      </c>
      <c r="DZ107" s="58">
        <v>69</v>
      </c>
      <c r="EA107" s="58">
        <v>105</v>
      </c>
      <c r="EB107" s="58">
        <v>45</v>
      </c>
      <c r="EC107" s="58" t="s">
        <v>920</v>
      </c>
      <c r="ED107" s="58" t="s">
        <v>920</v>
      </c>
      <c r="EE107" s="58">
        <v>81</v>
      </c>
      <c r="EF107" s="58">
        <v>114</v>
      </c>
      <c r="EG107" s="58" t="s">
        <v>920</v>
      </c>
      <c r="EH107" s="58">
        <v>95</v>
      </c>
      <c r="EI107" s="58">
        <v>68</v>
      </c>
      <c r="EJ107" s="58">
        <v>75</v>
      </c>
      <c r="EK107" s="58" t="s">
        <v>920</v>
      </c>
      <c r="EL107" s="58">
        <v>81</v>
      </c>
      <c r="EM107" s="58">
        <v>58</v>
      </c>
      <c r="EN107" s="58">
        <v>48</v>
      </c>
      <c r="EO107" s="58">
        <v>99</v>
      </c>
      <c r="EP107" s="58">
        <v>126</v>
      </c>
      <c r="EQ107" s="58">
        <v>36</v>
      </c>
    </row>
    <row r="108" spans="1:147" x14ac:dyDescent="0.45">
      <c r="A108" t="s">
        <v>119</v>
      </c>
      <c r="B108" s="59" t="s">
        <v>397</v>
      </c>
      <c r="C108" s="37" t="s">
        <v>37</v>
      </c>
      <c r="D108" s="37" t="s">
        <v>881</v>
      </c>
      <c r="E108" s="104">
        <v>15100.087</v>
      </c>
      <c r="F108" s="104">
        <v>18125000</v>
      </c>
      <c r="G108" s="87">
        <v>36.915628030351236</v>
      </c>
      <c r="H108" s="1" t="s">
        <v>243</v>
      </c>
      <c r="I108" s="58">
        <v>102</v>
      </c>
      <c r="J108" s="87">
        <v>28.776669560570252</v>
      </c>
      <c r="K108" s="87">
        <v>31.696739918963562</v>
      </c>
      <c r="L108" s="87">
        <v>38.811517594325458</v>
      </c>
      <c r="M108" s="87">
        <v>48.377585047545672</v>
      </c>
      <c r="N108" s="58">
        <v>106</v>
      </c>
      <c r="O108" s="58">
        <v>97</v>
      </c>
      <c r="P108" s="58">
        <v>110</v>
      </c>
      <c r="Q108" s="58">
        <v>85</v>
      </c>
      <c r="R108" s="58">
        <v>44.521132348235447</v>
      </c>
      <c r="S108" s="58">
        <v>11.217721364373554</v>
      </c>
      <c r="T108" s="58">
        <v>30.591154969101748</v>
      </c>
      <c r="U108" s="58">
        <v>45.208098818956955</v>
      </c>
      <c r="V108" s="58">
        <v>29.673175665770273</v>
      </c>
      <c r="W108" s="58">
        <v>20.208945272163465</v>
      </c>
      <c r="X108" s="58">
        <v>24.187139428338678</v>
      </c>
      <c r="Y108" s="58">
        <v>49.915342357880682</v>
      </c>
      <c r="Z108" s="58">
        <v>42.332070996757004</v>
      </c>
      <c r="AA108" s="58">
        <v>27.466839263260585</v>
      </c>
      <c r="AB108" s="58">
        <v>66.75802061124881</v>
      </c>
      <c r="AC108" s="58">
        <v>50.907895268127632</v>
      </c>
      <c r="AD108" s="58">
        <v>109</v>
      </c>
      <c r="AE108" s="58">
        <v>111</v>
      </c>
      <c r="AF108" s="58">
        <v>80</v>
      </c>
      <c r="AG108" s="58">
        <v>89</v>
      </c>
      <c r="AH108" s="58">
        <v>68</v>
      </c>
      <c r="AI108" s="58">
        <v>114</v>
      </c>
      <c r="AJ108" s="58">
        <v>118</v>
      </c>
      <c r="AK108" s="58">
        <v>97</v>
      </c>
      <c r="AL108" s="58">
        <v>110</v>
      </c>
      <c r="AM108" s="58">
        <v>86</v>
      </c>
      <c r="AN108" s="58">
        <v>62</v>
      </c>
      <c r="AO108" s="58">
        <v>102</v>
      </c>
      <c r="AP108" s="58">
        <v>35.698382323600001</v>
      </c>
      <c r="AQ108" s="58">
        <v>58.523350418449823</v>
      </c>
      <c r="AR108" s="58">
        <v>8.7151279904843459</v>
      </c>
      <c r="AS108" s="58">
        <v>73.68421052631578</v>
      </c>
      <c r="AT108" s="58">
        <v>60.78502352026004</v>
      </c>
      <c r="AU108" s="58">
        <v>29.720699310302699</v>
      </c>
      <c r="AV108" s="58">
        <v>2.6221396122499683</v>
      </c>
      <c r="AW108" s="58">
        <v>2.1696972807953867</v>
      </c>
      <c r="AX108" s="58">
        <v>39.943049734022296</v>
      </c>
      <c r="AY108" s="58">
        <v>0.13599883042656827</v>
      </c>
      <c r="AZ108" s="58">
        <v>53.459959440075181</v>
      </c>
      <c r="BA108" s="58">
        <v>37.5</v>
      </c>
      <c r="BB108" s="58" t="s">
        <v>920</v>
      </c>
      <c r="BC108" s="58">
        <v>0.81350546723006434</v>
      </c>
      <c r="BD108" s="58">
        <v>17.512559320357639</v>
      </c>
      <c r="BE108" s="58">
        <v>40.141743692791323</v>
      </c>
      <c r="BF108" s="58">
        <v>50.70204856150702</v>
      </c>
      <c r="BG108" s="58">
        <v>72.476043701171847</v>
      </c>
      <c r="BH108" s="58" t="s">
        <v>920</v>
      </c>
      <c r="BI108" s="58">
        <v>54.222044387052179</v>
      </c>
      <c r="BJ108" s="58" t="s">
        <v>920</v>
      </c>
      <c r="BK108" s="58" t="s">
        <v>920</v>
      </c>
      <c r="BL108" s="58">
        <v>5.1243069444883691</v>
      </c>
      <c r="BM108" s="58">
        <v>58.348672417319328</v>
      </c>
      <c r="BN108" s="58">
        <v>10.024877370439091</v>
      </c>
      <c r="BO108" s="58">
        <v>12.462231300895434</v>
      </c>
      <c r="BP108" s="58">
        <v>0</v>
      </c>
      <c r="BQ108" s="58">
        <v>37.055902272048222</v>
      </c>
      <c r="BR108" s="58">
        <v>27.890671844716554</v>
      </c>
      <c r="BS108" s="58" t="s">
        <v>920</v>
      </c>
      <c r="BT108" s="58">
        <v>7.6148441682512491</v>
      </c>
      <c r="BU108" s="58">
        <v>34.962360039499444</v>
      </c>
      <c r="BV108" s="58">
        <v>36.249999999601563</v>
      </c>
      <c r="BW108" s="58">
        <v>20.628972239725901</v>
      </c>
      <c r="BX108" s="58">
        <v>100</v>
      </c>
      <c r="BY108" s="58">
        <v>57.735379510576522</v>
      </c>
      <c r="BZ108" s="58">
        <v>43.48286077020736</v>
      </c>
      <c r="CA108" s="58">
        <v>42.850508258027943</v>
      </c>
      <c r="CB108" s="58">
        <v>51.006449634267291</v>
      </c>
      <c r="CC108" s="58">
        <v>31.988465324525432</v>
      </c>
      <c r="CD108" s="58">
        <v>0</v>
      </c>
      <c r="CE108" s="58">
        <v>52.827129613599375</v>
      </c>
      <c r="CF108" s="58">
        <v>39.485603007224533</v>
      </c>
      <c r="CG108" s="58">
        <v>17.554624432218432</v>
      </c>
      <c r="CH108" s="58">
        <v>69.302949061662218</v>
      </c>
      <c r="CI108" s="58">
        <v>83.072916666666657</v>
      </c>
      <c r="CJ108" s="58">
        <v>45.408163265306122</v>
      </c>
      <c r="CK108" s="58">
        <v>50.388228945528979</v>
      </c>
      <c r="CL108" s="58">
        <v>53.333333333333336</v>
      </c>
      <c r="CM108" s="58">
        <v>10.892345305097209</v>
      </c>
      <c r="CN108" s="58">
        <v>61.818181818181813</v>
      </c>
      <c r="CO108" s="58">
        <v>76.318622174381048</v>
      </c>
      <c r="CP108" s="58">
        <v>55.871530216367532</v>
      </c>
      <c r="CQ108" s="58">
        <v>113</v>
      </c>
      <c r="CR108" s="58">
        <v>74</v>
      </c>
      <c r="CS108" s="58">
        <v>112</v>
      </c>
      <c r="CT108" s="58">
        <v>100</v>
      </c>
      <c r="CU108" s="58">
        <v>113</v>
      </c>
      <c r="CV108" s="58">
        <v>74</v>
      </c>
      <c r="CW108" s="58">
        <v>96</v>
      </c>
      <c r="CX108" s="58">
        <v>78</v>
      </c>
      <c r="CY108" s="58">
        <v>112</v>
      </c>
      <c r="CZ108" s="58">
        <v>117</v>
      </c>
      <c r="DA108" s="58">
        <v>74</v>
      </c>
      <c r="DB108" s="58">
        <v>70</v>
      </c>
      <c r="DC108" s="58" t="s">
        <v>920</v>
      </c>
      <c r="DD108" s="58">
        <v>122</v>
      </c>
      <c r="DE108" s="58">
        <v>57</v>
      </c>
      <c r="DF108" s="58">
        <v>84</v>
      </c>
      <c r="DG108" s="58">
        <v>92</v>
      </c>
      <c r="DH108" s="58">
        <v>68</v>
      </c>
      <c r="DI108" s="58" t="s">
        <v>920</v>
      </c>
      <c r="DJ108" s="58">
        <v>63</v>
      </c>
      <c r="DK108" s="58" t="s">
        <v>920</v>
      </c>
      <c r="DL108" s="58" t="s">
        <v>920</v>
      </c>
      <c r="DM108" s="58">
        <v>61</v>
      </c>
      <c r="DN108" s="58">
        <v>82</v>
      </c>
      <c r="DO108" s="58">
        <v>89</v>
      </c>
      <c r="DP108" s="58">
        <v>104</v>
      </c>
      <c r="DQ108" s="58">
        <v>108</v>
      </c>
      <c r="DR108" s="58">
        <v>105</v>
      </c>
      <c r="DS108" s="58">
        <v>112</v>
      </c>
      <c r="DT108" s="58" t="s">
        <v>920</v>
      </c>
      <c r="DU108" s="58">
        <v>99</v>
      </c>
      <c r="DV108" s="58">
        <v>86</v>
      </c>
      <c r="DW108" s="58">
        <v>114</v>
      </c>
      <c r="DX108" s="58">
        <v>101</v>
      </c>
      <c r="DY108" s="58">
        <v>1</v>
      </c>
      <c r="DZ108" s="58">
        <v>76</v>
      </c>
      <c r="EA108" s="58">
        <v>88</v>
      </c>
      <c r="EB108" s="58">
        <v>102</v>
      </c>
      <c r="EC108" s="58">
        <v>90</v>
      </c>
      <c r="ED108" s="58">
        <v>65</v>
      </c>
      <c r="EE108" s="58">
        <v>81</v>
      </c>
      <c r="EF108" s="58">
        <v>67</v>
      </c>
      <c r="EG108" s="58">
        <v>62</v>
      </c>
      <c r="EH108" s="58">
        <v>53</v>
      </c>
      <c r="EI108" s="58">
        <v>42</v>
      </c>
      <c r="EJ108" s="58">
        <v>34</v>
      </c>
      <c r="EK108" s="58">
        <v>99</v>
      </c>
      <c r="EL108" s="58">
        <v>98</v>
      </c>
      <c r="EM108" s="58">
        <v>96</v>
      </c>
      <c r="EN108" s="58">
        <v>74</v>
      </c>
      <c r="EO108" s="58">
        <v>104</v>
      </c>
      <c r="EP108" s="58">
        <v>60</v>
      </c>
      <c r="EQ108" s="58">
        <v>75</v>
      </c>
    </row>
    <row r="109" spans="1:147" x14ac:dyDescent="0.45">
      <c r="A109" t="s">
        <v>117</v>
      </c>
      <c r="B109" s="59" t="s">
        <v>401</v>
      </c>
      <c r="C109" s="37" t="s">
        <v>25</v>
      </c>
      <c r="D109" s="37" t="s">
        <v>882</v>
      </c>
      <c r="E109" s="104">
        <v>9488.1560000000009</v>
      </c>
      <c r="F109" s="104">
        <v>227883000</v>
      </c>
      <c r="G109" s="87">
        <v>36.80629242744299</v>
      </c>
      <c r="H109" s="1" t="s">
        <v>241</v>
      </c>
      <c r="I109" s="58">
        <v>103</v>
      </c>
      <c r="J109" s="87">
        <v>31.820482416512988</v>
      </c>
      <c r="K109" s="87">
        <v>26.470981266270858</v>
      </c>
      <c r="L109" s="87">
        <v>48.030389838006272</v>
      </c>
      <c r="M109" s="87">
        <v>40.90331618898184</v>
      </c>
      <c r="N109" s="58">
        <v>96</v>
      </c>
      <c r="O109" s="58">
        <v>114</v>
      </c>
      <c r="P109" s="58">
        <v>99</v>
      </c>
      <c r="Q109" s="58">
        <v>107</v>
      </c>
      <c r="R109" s="58">
        <v>40.925041822842914</v>
      </c>
      <c r="S109" s="58">
        <v>26.44207429860888</v>
      </c>
      <c r="T109" s="58">
        <v>28.094331128087166</v>
      </c>
      <c r="U109" s="58">
        <v>35.490313382505953</v>
      </c>
      <c r="V109" s="58">
        <v>18.686940231022248</v>
      </c>
      <c r="W109" s="58">
        <v>25.23569018528438</v>
      </c>
      <c r="X109" s="58">
        <v>49.796699090754366</v>
      </c>
      <c r="Y109" s="58">
        <v>49.958103948148661</v>
      </c>
      <c r="Z109" s="58">
        <v>44.336366475115788</v>
      </c>
      <c r="AA109" s="58">
        <v>27.423231233241889</v>
      </c>
      <c r="AB109" s="58">
        <v>47.543972960419609</v>
      </c>
      <c r="AC109" s="58">
        <v>47.742744373284019</v>
      </c>
      <c r="AD109" s="58">
        <v>111</v>
      </c>
      <c r="AE109" s="58">
        <v>61</v>
      </c>
      <c r="AF109" s="58">
        <v>91</v>
      </c>
      <c r="AG109" s="58">
        <v>104</v>
      </c>
      <c r="AH109" s="58">
        <v>112</v>
      </c>
      <c r="AI109" s="58">
        <v>101</v>
      </c>
      <c r="AJ109" s="58">
        <v>72</v>
      </c>
      <c r="AK109" s="58">
        <v>96</v>
      </c>
      <c r="AL109" s="58">
        <v>108</v>
      </c>
      <c r="AM109" s="58">
        <v>87</v>
      </c>
      <c r="AN109" s="58">
        <v>101</v>
      </c>
      <c r="AO109" s="58">
        <v>112</v>
      </c>
      <c r="AP109" s="58">
        <v>47.361948877270201</v>
      </c>
      <c r="AQ109" s="58">
        <v>20.66710921644016</v>
      </c>
      <c r="AR109" s="58">
        <v>19.916307709613278</v>
      </c>
      <c r="AS109" s="58">
        <v>44.31578947368422</v>
      </c>
      <c r="AT109" s="58">
        <v>72.364053837206711</v>
      </c>
      <c r="AU109" s="58" t="s">
        <v>920</v>
      </c>
      <c r="AV109" s="58">
        <v>2.5727443090349205</v>
      </c>
      <c r="AW109" s="58">
        <v>0.50830901138207296</v>
      </c>
      <c r="AX109" s="58">
        <v>59.177646566988351</v>
      </c>
      <c r="AY109" s="58">
        <v>43.509597307030177</v>
      </c>
      <c r="AZ109" s="58">
        <v>43.79264054773153</v>
      </c>
      <c r="BA109" s="58">
        <v>22.750000000000004</v>
      </c>
      <c r="BB109" s="58" t="s">
        <v>920</v>
      </c>
      <c r="BC109" s="58">
        <v>17.740352836529969</v>
      </c>
      <c r="BD109" s="58">
        <v>39.25065263272262</v>
      </c>
      <c r="BE109" s="58">
        <v>36.646876600899681</v>
      </c>
      <c r="BF109" s="58">
        <v>11.579893917795825</v>
      </c>
      <c r="BG109" s="58">
        <v>54.483830378605688</v>
      </c>
      <c r="BH109" s="58" t="s">
        <v>920</v>
      </c>
      <c r="BI109" s="58">
        <v>13.640765883535138</v>
      </c>
      <c r="BJ109" s="58">
        <v>0.40797738240800241</v>
      </c>
      <c r="BK109" s="58">
        <v>52.99247288952499</v>
      </c>
      <c r="BL109" s="58">
        <v>7.7065447686208541</v>
      </c>
      <c r="BM109" s="58">
        <v>44.320929728949352</v>
      </c>
      <c r="BN109" s="58">
        <v>34.08123169025901</v>
      </c>
      <c r="BO109" s="58">
        <v>18.140991461207442</v>
      </c>
      <c r="BP109" s="58">
        <v>4.399607860721706</v>
      </c>
      <c r="BQ109" s="58">
        <v>36.132273694771541</v>
      </c>
      <c r="BR109" s="58">
        <v>78.856196262400644</v>
      </c>
      <c r="BS109" s="58">
        <v>78.306695284171695</v>
      </c>
      <c r="BT109" s="58">
        <v>5.8916311216735915</v>
      </c>
      <c r="BU109" s="58">
        <v>18.783688532067494</v>
      </c>
      <c r="BV109" s="58">
        <v>84.999999999906251</v>
      </c>
      <c r="BW109" s="58">
        <v>17.937565343983152</v>
      </c>
      <c r="BX109" s="58">
        <v>75</v>
      </c>
      <c r="BY109" s="58">
        <v>53.069265864786395</v>
      </c>
      <c r="BZ109" s="58">
        <v>33.336859923825642</v>
      </c>
      <c r="CA109" s="58">
        <v>42.760828343579625</v>
      </c>
      <c r="CB109" s="58" t="s">
        <v>920</v>
      </c>
      <c r="CC109" s="58">
        <v>56.911411157942112</v>
      </c>
      <c r="CD109" s="58">
        <v>5.8278158747265378E-3</v>
      </c>
      <c r="CE109" s="58">
        <v>69.41893072798868</v>
      </c>
      <c r="CF109" s="58">
        <v>38.038802286349146</v>
      </c>
      <c r="CG109" s="58">
        <v>2.2293641027550195</v>
      </c>
      <c r="CH109" s="58">
        <v>36.304736371760498</v>
      </c>
      <c r="CI109" s="58">
        <v>51.432291666666664</v>
      </c>
      <c r="CJ109" s="58">
        <v>74.234693877551024</v>
      </c>
      <c r="CK109" s="58">
        <v>35.55508780811234</v>
      </c>
      <c r="CL109" s="58">
        <v>6.666666666666667</v>
      </c>
      <c r="CM109" s="58" t="s">
        <v>920</v>
      </c>
      <c r="CN109" s="58">
        <v>50.909090909090907</v>
      </c>
      <c r="CO109" s="58">
        <v>82.454251883745968</v>
      </c>
      <c r="CP109" s="58">
        <v>13.063113987363693</v>
      </c>
      <c r="CQ109" s="58">
        <v>101</v>
      </c>
      <c r="CR109" s="58">
        <v>122</v>
      </c>
      <c r="CS109" s="58">
        <v>92</v>
      </c>
      <c r="CT109" s="58">
        <v>112</v>
      </c>
      <c r="CU109" s="58">
        <v>60</v>
      </c>
      <c r="CV109" s="58" t="s">
        <v>920</v>
      </c>
      <c r="CW109" s="58">
        <v>97</v>
      </c>
      <c r="CX109" s="58">
        <v>104</v>
      </c>
      <c r="CY109" s="58">
        <v>82</v>
      </c>
      <c r="CZ109" s="58">
        <v>17</v>
      </c>
      <c r="DA109" s="58">
        <v>88</v>
      </c>
      <c r="DB109" s="58">
        <v>111</v>
      </c>
      <c r="DC109" s="58" t="s">
        <v>920</v>
      </c>
      <c r="DD109" s="58">
        <v>63</v>
      </c>
      <c r="DE109" s="58">
        <v>24</v>
      </c>
      <c r="DF109" s="58">
        <v>88</v>
      </c>
      <c r="DG109" s="58">
        <v>114</v>
      </c>
      <c r="DH109" s="58">
        <v>83</v>
      </c>
      <c r="DI109" s="58" t="s">
        <v>920</v>
      </c>
      <c r="DJ109" s="58">
        <v>108</v>
      </c>
      <c r="DK109" s="58">
        <v>91</v>
      </c>
      <c r="DL109" s="58">
        <v>25</v>
      </c>
      <c r="DM109" s="58">
        <v>56</v>
      </c>
      <c r="DN109" s="58">
        <v>97</v>
      </c>
      <c r="DO109" s="58">
        <v>55</v>
      </c>
      <c r="DP109" s="58">
        <v>97</v>
      </c>
      <c r="DQ109" s="58">
        <v>74</v>
      </c>
      <c r="DR109" s="58">
        <v>106</v>
      </c>
      <c r="DS109" s="58">
        <v>80</v>
      </c>
      <c r="DT109" s="58">
        <v>5</v>
      </c>
      <c r="DU109" s="58">
        <v>106</v>
      </c>
      <c r="DV109" s="58">
        <v>119</v>
      </c>
      <c r="DW109" s="58">
        <v>32</v>
      </c>
      <c r="DX109" s="58">
        <v>103</v>
      </c>
      <c r="DY109" s="58">
        <v>72</v>
      </c>
      <c r="DZ109" s="58">
        <v>83</v>
      </c>
      <c r="EA109" s="58">
        <v>103</v>
      </c>
      <c r="EB109" s="58">
        <v>104</v>
      </c>
      <c r="EC109" s="58" t="s">
        <v>920</v>
      </c>
      <c r="ED109" s="58">
        <v>49</v>
      </c>
      <c r="EE109" s="58">
        <v>80</v>
      </c>
      <c r="EF109" s="58">
        <v>26</v>
      </c>
      <c r="EG109" s="58">
        <v>66</v>
      </c>
      <c r="EH109" s="58">
        <v>110</v>
      </c>
      <c r="EI109" s="58">
        <v>96</v>
      </c>
      <c r="EJ109" s="58">
        <v>105</v>
      </c>
      <c r="EK109" s="58">
        <v>50</v>
      </c>
      <c r="EL109" s="58">
        <v>114</v>
      </c>
      <c r="EM109" s="58">
        <v>122</v>
      </c>
      <c r="EN109" s="58" t="s">
        <v>920</v>
      </c>
      <c r="EO109" s="58">
        <v>111</v>
      </c>
      <c r="EP109" s="58">
        <v>40</v>
      </c>
      <c r="EQ109" s="58">
        <v>125</v>
      </c>
    </row>
    <row r="110" spans="1:147" x14ac:dyDescent="0.45">
      <c r="A110" t="s">
        <v>385</v>
      </c>
      <c r="B110" s="59" t="s">
        <v>384</v>
      </c>
      <c r="C110" s="37" t="s">
        <v>37</v>
      </c>
      <c r="D110" s="37" t="s">
        <v>882</v>
      </c>
      <c r="E110" s="104">
        <v>11439.02</v>
      </c>
      <c r="F110" s="104">
        <v>12244000</v>
      </c>
      <c r="G110" s="87">
        <v>36.596664665184363</v>
      </c>
      <c r="H110" s="1" t="s">
        <v>232</v>
      </c>
      <c r="I110" s="58">
        <v>104</v>
      </c>
      <c r="J110" s="87">
        <v>29.873722207890264</v>
      </c>
      <c r="K110" s="87">
        <v>30.943990248575414</v>
      </c>
      <c r="L110" s="87">
        <v>35.5244772964624</v>
      </c>
      <c r="M110" s="87">
        <v>50.044468907809367</v>
      </c>
      <c r="N110" s="58">
        <v>102</v>
      </c>
      <c r="O110" s="58">
        <v>100</v>
      </c>
      <c r="P110" s="58">
        <v>116</v>
      </c>
      <c r="Q110" s="58">
        <v>81</v>
      </c>
      <c r="R110" s="58">
        <v>56.140310206715085</v>
      </c>
      <c r="S110" s="58">
        <v>12.748909734279346</v>
      </c>
      <c r="T110" s="58">
        <v>20.731946682676355</v>
      </c>
      <c r="U110" s="58">
        <v>45.108317174077939</v>
      </c>
      <c r="V110" s="58">
        <v>22.919446478746728</v>
      </c>
      <c r="W110" s="58">
        <v>24.804207092901578</v>
      </c>
      <c r="X110" s="58">
        <v>25.8089192735811</v>
      </c>
      <c r="Y110" s="58">
        <v>36.771047099712824</v>
      </c>
      <c r="Z110" s="58">
        <v>43.993465516093281</v>
      </c>
      <c r="AA110" s="58">
        <v>17.156698494923859</v>
      </c>
      <c r="AB110" s="58">
        <v>60.525939524043984</v>
      </c>
      <c r="AC110" s="58">
        <v>72.450768704460245</v>
      </c>
      <c r="AD110" s="58">
        <v>95</v>
      </c>
      <c r="AE110" s="58">
        <v>106</v>
      </c>
      <c r="AF110" s="58">
        <v>106</v>
      </c>
      <c r="AG110" s="58">
        <v>90</v>
      </c>
      <c r="AH110" s="58">
        <v>96</v>
      </c>
      <c r="AI110" s="58">
        <v>102</v>
      </c>
      <c r="AJ110" s="58">
        <v>117</v>
      </c>
      <c r="AK110" s="58">
        <v>116</v>
      </c>
      <c r="AL110" s="58">
        <v>109</v>
      </c>
      <c r="AM110" s="58">
        <v>120</v>
      </c>
      <c r="AN110" s="58">
        <v>79</v>
      </c>
      <c r="AO110" s="58">
        <v>46</v>
      </c>
      <c r="AP110" s="58">
        <v>50.945365916043691</v>
      </c>
      <c r="AQ110" s="58">
        <v>41.502290658753992</v>
      </c>
      <c r="AR110" s="58">
        <v>45.990671111817107</v>
      </c>
      <c r="AS110" s="58">
        <v>73.68421052631578</v>
      </c>
      <c r="AT110" s="58">
        <v>68.57901282064482</v>
      </c>
      <c r="AU110" s="58" t="s">
        <v>920</v>
      </c>
      <c r="AV110" s="58">
        <v>4.8714229705657823</v>
      </c>
      <c r="AW110" s="58">
        <v>1.022204729848962</v>
      </c>
      <c r="AX110" s="58">
        <v>44.795846871438741</v>
      </c>
      <c r="AY110" s="58">
        <v>0.30616436526389329</v>
      </c>
      <c r="AZ110" s="58">
        <v>26.207739054514334</v>
      </c>
      <c r="BA110" s="58">
        <v>12</v>
      </c>
      <c r="BB110" s="58" t="s">
        <v>920</v>
      </c>
      <c r="BC110" s="58">
        <v>23.988100993514731</v>
      </c>
      <c r="BD110" s="58">
        <v>0</v>
      </c>
      <c r="BE110" s="58">
        <v>25.055195261126979</v>
      </c>
      <c r="BF110" s="58">
        <v>61.531919589030935</v>
      </c>
      <c r="BG110" s="58">
        <v>93.84615384615384</v>
      </c>
      <c r="BH110" s="58" t="s">
        <v>920</v>
      </c>
      <c r="BI110" s="58">
        <v>44.446162170518654</v>
      </c>
      <c r="BJ110" s="58">
        <v>7.3149590660889814</v>
      </c>
      <c r="BK110" s="58">
        <v>37.515112162663833</v>
      </c>
      <c r="BL110" s="58">
        <v>2.4015525157154447</v>
      </c>
      <c r="BM110" s="58">
        <v>51.719782004547596</v>
      </c>
      <c r="BN110" s="58">
        <v>22.69283927415713</v>
      </c>
      <c r="BO110" s="58">
        <v>0</v>
      </c>
      <c r="BP110" s="58" t="s">
        <v>920</v>
      </c>
      <c r="BQ110" s="58">
        <v>47.294119522505355</v>
      </c>
      <c r="BR110" s="58">
        <v>31.697931067538676</v>
      </c>
      <c r="BS110" s="58">
        <v>11.909466652702008</v>
      </c>
      <c r="BT110" s="58">
        <v>12.334159851578359</v>
      </c>
      <c r="BU110" s="58">
        <v>12.771433145049812</v>
      </c>
      <c r="BV110" s="58">
        <v>54.062499999712884</v>
      </c>
      <c r="BW110" s="58">
        <v>2.3178597988449852</v>
      </c>
      <c r="BX110" s="58">
        <v>50</v>
      </c>
      <c r="BY110" s="58">
        <v>64.703442554956453</v>
      </c>
      <c r="BZ110" s="58">
        <v>39.134574693186622</v>
      </c>
      <c r="CA110" s="58">
        <v>55.689549918738244</v>
      </c>
      <c r="CB110" s="58">
        <v>55.285308797827582</v>
      </c>
      <c r="CC110" s="58">
        <v>25.864428654620664</v>
      </c>
      <c r="CD110" s="58" t="s">
        <v>920</v>
      </c>
      <c r="CE110" s="58">
        <v>46.579137930613591</v>
      </c>
      <c r="CF110" s="58">
        <v>2.0770932687785812</v>
      </c>
      <c r="CG110" s="58">
        <v>2.8138642853793998</v>
      </c>
      <c r="CH110" s="58">
        <v>58.266309204647015</v>
      </c>
      <c r="CI110" s="58">
        <v>74.609374999999986</v>
      </c>
      <c r="CJ110" s="58">
        <v>53.316326530612244</v>
      </c>
      <c r="CK110" s="58">
        <v>44.087942204357638</v>
      </c>
      <c r="CL110" s="58">
        <v>66.666666666666657</v>
      </c>
      <c r="CM110" s="58" t="s">
        <v>920</v>
      </c>
      <c r="CN110" s="58">
        <v>83.636363636363626</v>
      </c>
      <c r="CO110" s="58">
        <v>72.335844994617872</v>
      </c>
      <c r="CP110" s="58">
        <v>56.093528298131773</v>
      </c>
      <c r="CQ110" s="58">
        <v>94</v>
      </c>
      <c r="CR110" s="58">
        <v>95</v>
      </c>
      <c r="CS110" s="58">
        <v>29</v>
      </c>
      <c r="CT110" s="58">
        <v>100</v>
      </c>
      <c r="CU110" s="58">
        <v>80</v>
      </c>
      <c r="CV110" s="58" t="s">
        <v>920</v>
      </c>
      <c r="CW110" s="58">
        <v>77</v>
      </c>
      <c r="CX110" s="58">
        <v>96</v>
      </c>
      <c r="CY110" s="58">
        <v>104</v>
      </c>
      <c r="CZ110" s="58">
        <v>110</v>
      </c>
      <c r="DA110" s="58">
        <v>102</v>
      </c>
      <c r="DB110" s="58">
        <v>124</v>
      </c>
      <c r="DC110" s="58" t="s">
        <v>920</v>
      </c>
      <c r="DD110" s="58">
        <v>41</v>
      </c>
      <c r="DE110" s="58">
        <v>124</v>
      </c>
      <c r="DF110" s="58">
        <v>105</v>
      </c>
      <c r="DG110" s="58">
        <v>74</v>
      </c>
      <c r="DH110" s="58">
        <v>39</v>
      </c>
      <c r="DI110" s="58" t="s">
        <v>920</v>
      </c>
      <c r="DJ110" s="58">
        <v>73</v>
      </c>
      <c r="DK110" s="58">
        <v>56</v>
      </c>
      <c r="DL110" s="58">
        <v>81</v>
      </c>
      <c r="DM110" s="58">
        <v>77</v>
      </c>
      <c r="DN110" s="58">
        <v>90</v>
      </c>
      <c r="DO110" s="58">
        <v>70</v>
      </c>
      <c r="DP110" s="58">
        <v>109</v>
      </c>
      <c r="DQ110" s="58" t="s">
        <v>920</v>
      </c>
      <c r="DR110" s="58">
        <v>93</v>
      </c>
      <c r="DS110" s="58">
        <v>111</v>
      </c>
      <c r="DT110" s="58">
        <v>53</v>
      </c>
      <c r="DU110" s="58">
        <v>87</v>
      </c>
      <c r="DV110" s="58">
        <v>125</v>
      </c>
      <c r="DW110" s="58">
        <v>91</v>
      </c>
      <c r="DX110" s="58">
        <v>112</v>
      </c>
      <c r="DY110" s="58">
        <v>107</v>
      </c>
      <c r="DZ110" s="58">
        <v>58</v>
      </c>
      <c r="EA110" s="58">
        <v>95</v>
      </c>
      <c r="EB110" s="58">
        <v>85</v>
      </c>
      <c r="EC110" s="58">
        <v>85</v>
      </c>
      <c r="ED110" s="58">
        <v>68</v>
      </c>
      <c r="EE110" s="58" t="s">
        <v>920</v>
      </c>
      <c r="EF110" s="58">
        <v>84</v>
      </c>
      <c r="EG110" s="58">
        <v>104</v>
      </c>
      <c r="EH110" s="58">
        <v>108</v>
      </c>
      <c r="EI110" s="58">
        <v>72</v>
      </c>
      <c r="EJ110" s="58">
        <v>58</v>
      </c>
      <c r="EK110" s="58">
        <v>88</v>
      </c>
      <c r="EL110" s="58">
        <v>107</v>
      </c>
      <c r="EM110" s="58">
        <v>89</v>
      </c>
      <c r="EN110" s="58" t="s">
        <v>920</v>
      </c>
      <c r="EO110" s="58">
        <v>47</v>
      </c>
      <c r="EP110" s="58">
        <v>78</v>
      </c>
      <c r="EQ110" s="58">
        <v>74</v>
      </c>
    </row>
    <row r="111" spans="1:147" x14ac:dyDescent="0.45">
      <c r="A111" t="s">
        <v>120</v>
      </c>
      <c r="B111" s="59" t="s">
        <v>396</v>
      </c>
      <c r="C111" s="37" t="s">
        <v>31</v>
      </c>
      <c r="D111" s="37" t="s">
        <v>882</v>
      </c>
      <c r="E111" s="104">
        <v>8707.0709999999999</v>
      </c>
      <c r="F111" s="104">
        <v>17424000</v>
      </c>
      <c r="G111" s="87">
        <v>36.459647816649266</v>
      </c>
      <c r="H111" s="1" t="s">
        <v>244</v>
      </c>
      <c r="I111" s="58">
        <v>105</v>
      </c>
      <c r="J111" s="87">
        <v>29.841836121067093</v>
      </c>
      <c r="K111" s="87">
        <v>29.626691056467255</v>
      </c>
      <c r="L111" s="87">
        <v>41.504214777981524</v>
      </c>
      <c r="M111" s="87">
        <v>44.865849311081199</v>
      </c>
      <c r="N111" s="58">
        <v>103</v>
      </c>
      <c r="O111" s="58">
        <v>104</v>
      </c>
      <c r="P111" s="58">
        <v>106</v>
      </c>
      <c r="Q111" s="58">
        <v>98</v>
      </c>
      <c r="R111" s="58">
        <v>49.05663614736585</v>
      </c>
      <c r="S111" s="58">
        <v>17.689691237451775</v>
      </c>
      <c r="T111" s="58">
        <v>22.779180978383664</v>
      </c>
      <c r="U111" s="58">
        <v>51.718561026794049</v>
      </c>
      <c r="V111" s="58">
        <v>20.311878712557316</v>
      </c>
      <c r="W111" s="58">
        <v>16.849633430050407</v>
      </c>
      <c r="X111" s="58">
        <v>42.670244064386175</v>
      </c>
      <c r="Y111" s="58">
        <v>40.584882107746196</v>
      </c>
      <c r="Z111" s="58">
        <v>41.257518161812193</v>
      </c>
      <c r="AA111" s="58">
        <v>26.377075353919832</v>
      </c>
      <c r="AB111" s="58">
        <v>59.437606491489554</v>
      </c>
      <c r="AC111" s="58">
        <v>48.782866087834208</v>
      </c>
      <c r="AD111" s="58">
        <v>103</v>
      </c>
      <c r="AE111" s="58">
        <v>91</v>
      </c>
      <c r="AF111" s="58">
        <v>102</v>
      </c>
      <c r="AG111" s="58">
        <v>64</v>
      </c>
      <c r="AH111" s="58">
        <v>107</v>
      </c>
      <c r="AI111" s="58">
        <v>118</v>
      </c>
      <c r="AJ111" s="58">
        <v>96</v>
      </c>
      <c r="AK111" s="58">
        <v>113</v>
      </c>
      <c r="AL111" s="58">
        <v>111</v>
      </c>
      <c r="AM111" s="58">
        <v>93</v>
      </c>
      <c r="AN111" s="58">
        <v>81</v>
      </c>
      <c r="AO111" s="58">
        <v>108</v>
      </c>
      <c r="AP111" s="58">
        <v>70.030682502090599</v>
      </c>
      <c r="AQ111" s="58">
        <v>39.735240516133572</v>
      </c>
      <c r="AR111" s="58">
        <v>42.937186669520429</v>
      </c>
      <c r="AS111" s="58">
        <v>64.21052631578948</v>
      </c>
      <c r="AT111" s="58">
        <v>71.702550463653694</v>
      </c>
      <c r="AU111" s="58">
        <v>5.7236304170073504</v>
      </c>
      <c r="AV111" s="58">
        <v>3.3592310582827674</v>
      </c>
      <c r="AW111" s="58">
        <v>0.780797744319219</v>
      </c>
      <c r="AX111" s="58">
        <v>65.635134444480443</v>
      </c>
      <c r="AY111" s="58">
        <v>0.98360170272467107</v>
      </c>
      <c r="AZ111" s="58" t="s">
        <v>920</v>
      </c>
      <c r="BA111" s="58">
        <v>43.75</v>
      </c>
      <c r="BB111" s="58" t="s">
        <v>920</v>
      </c>
      <c r="BC111" s="58">
        <v>1.8083619567673255</v>
      </c>
      <c r="BD111" s="58">
        <v>29.928014598104642</v>
      </c>
      <c r="BE111" s="58" t="s">
        <v>920</v>
      </c>
      <c r="BF111" s="58">
        <v>68.416508908209039</v>
      </c>
      <c r="BG111" s="58">
        <v>56.811159574068469</v>
      </c>
      <c r="BH111" s="58" t="s">
        <v>920</v>
      </c>
      <c r="BI111" s="58">
        <v>39.330874964192979</v>
      </c>
      <c r="BJ111" s="58">
        <v>5.850412227636272</v>
      </c>
      <c r="BK111" s="58">
        <v>35.481815454492057</v>
      </c>
      <c r="BL111" s="58">
        <v>0.58441220390796611</v>
      </c>
      <c r="BM111" s="58">
        <v>33.872306637311873</v>
      </c>
      <c r="BN111" s="58">
        <v>14.898430920491098</v>
      </c>
      <c r="BO111" s="58" t="s">
        <v>920</v>
      </c>
      <c r="BP111" s="58">
        <v>1.7781627323482436</v>
      </c>
      <c r="BQ111" s="58">
        <v>53.919008962825686</v>
      </c>
      <c r="BR111" s="58">
        <v>24.411655893976608</v>
      </c>
      <c r="BS111" s="58">
        <v>77.047309680384387</v>
      </c>
      <c r="BT111" s="58">
        <v>15.303001720358036</v>
      </c>
      <c r="BU111" s="58">
        <v>25.096066926993625</v>
      </c>
      <c r="BV111" s="58">
        <v>47.499999999671871</v>
      </c>
      <c r="BW111" s="58">
        <v>30.317974470630364</v>
      </c>
      <c r="BX111" s="58">
        <v>75</v>
      </c>
      <c r="BY111" s="58">
        <v>25.010369141435092</v>
      </c>
      <c r="BZ111" s="58">
        <v>27.539145154464663</v>
      </c>
      <c r="CA111" s="58">
        <v>43.845575786391912</v>
      </c>
      <c r="CB111" s="58">
        <v>63.518290219407326</v>
      </c>
      <c r="CC111" s="58">
        <v>30.127061486984864</v>
      </c>
      <c r="CD111" s="58" t="s">
        <v>920</v>
      </c>
      <c r="CE111" s="58">
        <v>46.624528555006513</v>
      </c>
      <c r="CF111" s="58" t="s">
        <v>920</v>
      </c>
      <c r="CG111" s="58">
        <v>6.1296221528331483</v>
      </c>
      <c r="CH111" s="58">
        <v>24.151027703306532</v>
      </c>
      <c r="CI111" s="58">
        <v>96.875</v>
      </c>
      <c r="CJ111" s="58" t="s">
        <v>920</v>
      </c>
      <c r="CK111" s="58">
        <v>55.135977050834725</v>
      </c>
      <c r="CL111" s="58">
        <v>51.111111111111107</v>
      </c>
      <c r="CM111" s="58">
        <v>0</v>
      </c>
      <c r="CN111" s="58">
        <v>72.727272727272734</v>
      </c>
      <c r="CO111" s="58">
        <v>74.488697524219589</v>
      </c>
      <c r="CP111" s="58">
        <v>44.719877088577888</v>
      </c>
      <c r="CQ111" s="58">
        <v>58</v>
      </c>
      <c r="CR111" s="58">
        <v>98</v>
      </c>
      <c r="CS111" s="58">
        <v>37</v>
      </c>
      <c r="CT111" s="58">
        <v>105</v>
      </c>
      <c r="CU111" s="58">
        <v>63</v>
      </c>
      <c r="CV111" s="58">
        <v>81</v>
      </c>
      <c r="CW111" s="58">
        <v>89</v>
      </c>
      <c r="CX111" s="58">
        <v>101</v>
      </c>
      <c r="CY111" s="58">
        <v>60</v>
      </c>
      <c r="CZ111" s="58">
        <v>97</v>
      </c>
      <c r="DA111" s="58" t="s">
        <v>920</v>
      </c>
      <c r="DB111" s="58">
        <v>54</v>
      </c>
      <c r="DC111" s="58" t="s">
        <v>920</v>
      </c>
      <c r="DD111" s="58">
        <v>116</v>
      </c>
      <c r="DE111" s="58">
        <v>37</v>
      </c>
      <c r="DF111" s="58" t="s">
        <v>920</v>
      </c>
      <c r="DG111" s="58">
        <v>66</v>
      </c>
      <c r="DH111" s="58">
        <v>81</v>
      </c>
      <c r="DI111" s="58" t="s">
        <v>920</v>
      </c>
      <c r="DJ111" s="58">
        <v>81</v>
      </c>
      <c r="DK111" s="58">
        <v>62</v>
      </c>
      <c r="DL111" s="58">
        <v>89</v>
      </c>
      <c r="DM111" s="58">
        <v>103</v>
      </c>
      <c r="DN111" s="58">
        <v>109</v>
      </c>
      <c r="DO111" s="58">
        <v>82</v>
      </c>
      <c r="DP111" s="58" t="s">
        <v>920</v>
      </c>
      <c r="DQ111" s="58">
        <v>95</v>
      </c>
      <c r="DR111" s="58">
        <v>77</v>
      </c>
      <c r="DS111" s="58">
        <v>117</v>
      </c>
      <c r="DT111" s="58">
        <v>6</v>
      </c>
      <c r="DU111" s="58">
        <v>83</v>
      </c>
      <c r="DV111" s="58">
        <v>108</v>
      </c>
      <c r="DW111" s="58">
        <v>99</v>
      </c>
      <c r="DX111" s="58">
        <v>87</v>
      </c>
      <c r="DY111" s="58">
        <v>72</v>
      </c>
      <c r="DZ111" s="58">
        <v>115</v>
      </c>
      <c r="EA111" s="58">
        <v>106</v>
      </c>
      <c r="EB111" s="58">
        <v>101</v>
      </c>
      <c r="EC111" s="58">
        <v>68</v>
      </c>
      <c r="ED111" s="58">
        <v>66</v>
      </c>
      <c r="EE111" s="58" t="s">
        <v>920</v>
      </c>
      <c r="EF111" s="58">
        <v>83</v>
      </c>
      <c r="EG111" s="58" t="s">
        <v>920</v>
      </c>
      <c r="EH111" s="58">
        <v>90</v>
      </c>
      <c r="EI111" s="58">
        <v>110</v>
      </c>
      <c r="EJ111" s="58">
        <v>3</v>
      </c>
      <c r="EK111" s="58" t="s">
        <v>920</v>
      </c>
      <c r="EL111" s="58">
        <v>92</v>
      </c>
      <c r="EM111" s="58">
        <v>97</v>
      </c>
      <c r="EN111" s="58">
        <v>83</v>
      </c>
      <c r="EO111" s="58">
        <v>78</v>
      </c>
      <c r="EP111" s="58">
        <v>69</v>
      </c>
      <c r="EQ111" s="58">
        <v>85</v>
      </c>
    </row>
    <row r="112" spans="1:147" x14ac:dyDescent="0.45">
      <c r="A112" t="s">
        <v>388</v>
      </c>
      <c r="B112" s="59" t="s">
        <v>387</v>
      </c>
      <c r="C112" s="37" t="s">
        <v>31</v>
      </c>
      <c r="D112" s="37" t="s">
        <v>882</v>
      </c>
      <c r="E112" s="104">
        <v>10212.325999999999</v>
      </c>
      <c r="F112" s="104">
        <v>7665000</v>
      </c>
      <c r="G112" s="87">
        <v>36.263461266899874</v>
      </c>
      <c r="H112" s="1" t="s">
        <v>248</v>
      </c>
      <c r="I112" s="58">
        <v>106</v>
      </c>
      <c r="J112" s="87">
        <v>27.412758189069109</v>
      </c>
      <c r="K112" s="87">
        <v>31.397094518051073</v>
      </c>
      <c r="L112" s="87">
        <v>34.353011930477983</v>
      </c>
      <c r="M112" s="87">
        <v>51.890980430001328</v>
      </c>
      <c r="N112" s="58">
        <v>110</v>
      </c>
      <c r="O112" s="58">
        <v>98</v>
      </c>
      <c r="P112" s="58">
        <v>118</v>
      </c>
      <c r="Q112" s="58">
        <v>76</v>
      </c>
      <c r="R112" s="58">
        <v>35.895913948843592</v>
      </c>
      <c r="S112" s="58">
        <v>1.1892267355242261</v>
      </c>
      <c r="T112" s="58">
        <v>45.153133882839519</v>
      </c>
      <c r="U112" s="58">
        <v>43.473529655580919</v>
      </c>
      <c r="V112" s="58">
        <v>10.822718148701242</v>
      </c>
      <c r="W112" s="58">
        <v>39.895035749871056</v>
      </c>
      <c r="X112" s="58">
        <v>37.745398510627361</v>
      </c>
      <c r="Y112" s="58">
        <v>35.396209361314838</v>
      </c>
      <c r="Z112" s="58">
        <v>29.917427919491747</v>
      </c>
      <c r="AA112" s="58">
        <v>31.66683019776649</v>
      </c>
      <c r="AB112" s="58">
        <v>63.718933425821156</v>
      </c>
      <c r="AC112" s="58">
        <v>60.287177666416348</v>
      </c>
      <c r="AD112" s="58">
        <v>113</v>
      </c>
      <c r="AE112" s="58">
        <v>122</v>
      </c>
      <c r="AF112" s="58">
        <v>38</v>
      </c>
      <c r="AG112" s="58">
        <v>95</v>
      </c>
      <c r="AH112" s="58">
        <v>127</v>
      </c>
      <c r="AI112" s="58">
        <v>66</v>
      </c>
      <c r="AJ112" s="58">
        <v>104</v>
      </c>
      <c r="AK112" s="58">
        <v>119</v>
      </c>
      <c r="AL112" s="58">
        <v>115</v>
      </c>
      <c r="AM112" s="58">
        <v>66</v>
      </c>
      <c r="AN112" s="58">
        <v>71</v>
      </c>
      <c r="AO112" s="58">
        <v>81</v>
      </c>
      <c r="AP112" s="58">
        <v>53.636817694900493</v>
      </c>
      <c r="AQ112" s="58">
        <v>48.747458902131527</v>
      </c>
      <c r="AR112" s="58">
        <v>26.091493322161245</v>
      </c>
      <c r="AS112" s="58">
        <v>21.052631578947366</v>
      </c>
      <c r="AT112" s="58">
        <v>60.486233682124066</v>
      </c>
      <c r="AU112" s="58">
        <v>5.3608485127968599</v>
      </c>
      <c r="AV112" s="58">
        <v>0.38070453484993294</v>
      </c>
      <c r="AW112" s="58">
        <v>2.6269845542137769</v>
      </c>
      <c r="AX112" s="58" t="s">
        <v>920</v>
      </c>
      <c r="AY112" s="58">
        <v>0.55999111750896868</v>
      </c>
      <c r="AZ112" s="58">
        <v>74.459900774273564</v>
      </c>
      <c r="BA112" s="58">
        <v>46.25</v>
      </c>
      <c r="BB112" s="58" t="s">
        <v>920</v>
      </c>
      <c r="BC112" s="58">
        <v>14.749500874244987</v>
      </c>
      <c r="BD112" s="58">
        <v>2.7630052550268336</v>
      </c>
      <c r="BE112" s="58">
        <v>60.411016527684282</v>
      </c>
      <c r="BF112" s="58">
        <v>48.193605234294083</v>
      </c>
      <c r="BG112" s="58">
        <v>62.526491605318469</v>
      </c>
      <c r="BH112" s="58" t="s">
        <v>920</v>
      </c>
      <c r="BI112" s="58">
        <v>32.283145924366494</v>
      </c>
      <c r="BJ112" s="58" t="s">
        <v>920</v>
      </c>
      <c r="BK112" s="58">
        <v>0</v>
      </c>
      <c r="BL112" s="58">
        <v>0.18500852173723129</v>
      </c>
      <c r="BM112" s="58">
        <v>18.971138460798112</v>
      </c>
      <c r="BN112" s="58" t="s">
        <v>920</v>
      </c>
      <c r="BO112" s="58">
        <v>60.818933038944003</v>
      </c>
      <c r="BP112" s="58" t="s">
        <v>920</v>
      </c>
      <c r="BQ112" s="58">
        <v>45.726186478024367</v>
      </c>
      <c r="BR112" s="58">
        <v>20.386009369908795</v>
      </c>
      <c r="BS112" s="58">
        <v>63.906174783550405</v>
      </c>
      <c r="BT112" s="58">
        <v>20.963223411025869</v>
      </c>
      <c r="BU112" s="58">
        <v>19.010592689057024</v>
      </c>
      <c r="BV112" s="58">
        <v>0</v>
      </c>
      <c r="BW112" s="58">
        <v>42.437480247753562</v>
      </c>
      <c r="BX112" s="58">
        <v>100</v>
      </c>
      <c r="BY112" s="58">
        <v>15.532973869763586</v>
      </c>
      <c r="BZ112" s="58">
        <v>24.640287769784173</v>
      </c>
      <c r="CA112" s="58">
        <v>0.81707585041222197</v>
      </c>
      <c r="CB112" s="58" t="s">
        <v>920</v>
      </c>
      <c r="CC112" s="58">
        <v>64.294920138278854</v>
      </c>
      <c r="CD112" s="58" t="s">
        <v>920</v>
      </c>
      <c r="CE112" s="58">
        <v>40.374268363485768</v>
      </c>
      <c r="CF112" s="58">
        <v>52.630848038581355</v>
      </c>
      <c r="CG112" s="58">
        <v>1.9953741912323475</v>
      </c>
      <c r="CH112" s="58">
        <v>45.598748882931197</v>
      </c>
      <c r="CI112" s="58">
        <v>87.5</v>
      </c>
      <c r="CJ112" s="58">
        <v>61.734693877551031</v>
      </c>
      <c r="CK112" s="58">
        <v>54.381408911513539</v>
      </c>
      <c r="CL112" s="58">
        <v>37.777777777777779</v>
      </c>
      <c r="CM112" s="58" t="s">
        <v>920</v>
      </c>
      <c r="CN112" s="58">
        <v>79.090909090909093</v>
      </c>
      <c r="CO112" s="58">
        <v>64.047362755651235</v>
      </c>
      <c r="CP112" s="58">
        <v>37.668744527599642</v>
      </c>
      <c r="CQ112" s="58">
        <v>90</v>
      </c>
      <c r="CR112" s="58">
        <v>85</v>
      </c>
      <c r="CS112" s="58">
        <v>79</v>
      </c>
      <c r="CT112" s="58">
        <v>119</v>
      </c>
      <c r="CU112" s="58">
        <v>115</v>
      </c>
      <c r="CV112" s="58">
        <v>82</v>
      </c>
      <c r="CW112" s="58">
        <v>117</v>
      </c>
      <c r="CX112" s="58">
        <v>73</v>
      </c>
      <c r="CY112" s="58" t="s">
        <v>920</v>
      </c>
      <c r="CZ112" s="58">
        <v>105</v>
      </c>
      <c r="DA112" s="58">
        <v>35</v>
      </c>
      <c r="DB112" s="58">
        <v>51</v>
      </c>
      <c r="DC112" s="58" t="s">
        <v>920</v>
      </c>
      <c r="DD112" s="58">
        <v>72</v>
      </c>
      <c r="DE112" s="58">
        <v>110</v>
      </c>
      <c r="DF112" s="58">
        <v>42</v>
      </c>
      <c r="DG112" s="58">
        <v>93</v>
      </c>
      <c r="DH112" s="58">
        <v>78</v>
      </c>
      <c r="DI112" s="58" t="s">
        <v>920</v>
      </c>
      <c r="DJ112" s="58">
        <v>94</v>
      </c>
      <c r="DK112" s="58" t="s">
        <v>920</v>
      </c>
      <c r="DL112" s="58">
        <v>118</v>
      </c>
      <c r="DM112" s="58">
        <v>117</v>
      </c>
      <c r="DN112" s="58">
        <v>123</v>
      </c>
      <c r="DO112" s="58" t="s">
        <v>920</v>
      </c>
      <c r="DP112" s="58">
        <v>27</v>
      </c>
      <c r="DQ112" s="58" t="s">
        <v>920</v>
      </c>
      <c r="DR112" s="58">
        <v>94</v>
      </c>
      <c r="DS112" s="58">
        <v>119</v>
      </c>
      <c r="DT112" s="58">
        <v>12</v>
      </c>
      <c r="DU112" s="58">
        <v>71</v>
      </c>
      <c r="DV112" s="58">
        <v>118</v>
      </c>
      <c r="DW112" s="58">
        <v>127</v>
      </c>
      <c r="DX112" s="58">
        <v>70</v>
      </c>
      <c r="DY112" s="58">
        <v>1</v>
      </c>
      <c r="DZ112" s="58">
        <v>122</v>
      </c>
      <c r="EA112" s="58">
        <v>110</v>
      </c>
      <c r="EB112" s="58">
        <v>123</v>
      </c>
      <c r="EC112" s="58" t="s">
        <v>920</v>
      </c>
      <c r="ED112" s="58">
        <v>41</v>
      </c>
      <c r="EE112" s="58" t="s">
        <v>920</v>
      </c>
      <c r="EF112" s="58">
        <v>98</v>
      </c>
      <c r="EG112" s="58">
        <v>48</v>
      </c>
      <c r="EH112" s="58">
        <v>113</v>
      </c>
      <c r="EI112" s="58">
        <v>88</v>
      </c>
      <c r="EJ112" s="58">
        <v>23</v>
      </c>
      <c r="EK112" s="58">
        <v>76</v>
      </c>
      <c r="EL112" s="58">
        <v>93</v>
      </c>
      <c r="EM112" s="58">
        <v>106</v>
      </c>
      <c r="EN112" s="58" t="s">
        <v>920</v>
      </c>
      <c r="EO112" s="58">
        <v>61</v>
      </c>
      <c r="EP112" s="58">
        <v>92</v>
      </c>
      <c r="EQ112" s="58">
        <v>101</v>
      </c>
    </row>
    <row r="113" spans="1:147" x14ac:dyDescent="0.45">
      <c r="A113" t="s">
        <v>124</v>
      </c>
      <c r="B113" s="59" t="s">
        <v>404</v>
      </c>
      <c r="C113" s="37" t="s">
        <v>31</v>
      </c>
      <c r="D113" s="37" t="s">
        <v>882</v>
      </c>
      <c r="E113" s="104">
        <v>6139.8040000000001</v>
      </c>
      <c r="F113" s="104">
        <v>29695000</v>
      </c>
      <c r="G113" s="87">
        <v>35.67768877825759</v>
      </c>
      <c r="H113" s="1" t="s">
        <v>251</v>
      </c>
      <c r="I113" s="58">
        <v>107</v>
      </c>
      <c r="J113" s="87">
        <v>30.237063464600812</v>
      </c>
      <c r="K113" s="87">
        <v>27.041420606375095</v>
      </c>
      <c r="L113" s="87">
        <v>37.459480318127369</v>
      </c>
      <c r="M113" s="87">
        <v>47.972790723927083</v>
      </c>
      <c r="N113" s="58">
        <v>101</v>
      </c>
      <c r="O113" s="58">
        <v>112</v>
      </c>
      <c r="P113" s="58">
        <v>114</v>
      </c>
      <c r="Q113" s="58">
        <v>86</v>
      </c>
      <c r="R113" s="58">
        <v>46.960735876559383</v>
      </c>
      <c r="S113" s="58">
        <v>20.955117087303279</v>
      </c>
      <c r="T113" s="58">
        <v>22.795337429939782</v>
      </c>
      <c r="U113" s="58">
        <v>32.806236038762449</v>
      </c>
      <c r="V113" s="58">
        <v>24.94863024978164</v>
      </c>
      <c r="W113" s="58">
        <v>23.36939553058119</v>
      </c>
      <c r="X113" s="58">
        <v>32.179711746803513</v>
      </c>
      <c r="Y113" s="58">
        <v>35.04449317562505</v>
      </c>
      <c r="Z113" s="58">
        <v>45.154236031953566</v>
      </c>
      <c r="AA113" s="58">
        <v>26.995957087483546</v>
      </c>
      <c r="AB113" s="58">
        <v>60.818243062588493</v>
      </c>
      <c r="AC113" s="58">
        <v>56.104172021709218</v>
      </c>
      <c r="AD113" s="58">
        <v>107</v>
      </c>
      <c r="AE113" s="58">
        <v>78</v>
      </c>
      <c r="AF113" s="58">
        <v>101</v>
      </c>
      <c r="AG113" s="58">
        <v>108</v>
      </c>
      <c r="AH113" s="58">
        <v>86</v>
      </c>
      <c r="AI113" s="58">
        <v>107</v>
      </c>
      <c r="AJ113" s="58">
        <v>111</v>
      </c>
      <c r="AK113" s="58">
        <v>120</v>
      </c>
      <c r="AL113" s="58">
        <v>107</v>
      </c>
      <c r="AM113" s="58">
        <v>89</v>
      </c>
      <c r="AN113" s="58">
        <v>78</v>
      </c>
      <c r="AO113" s="58">
        <v>90</v>
      </c>
      <c r="AP113" s="58">
        <v>55.973407450446203</v>
      </c>
      <c r="AQ113" s="58">
        <v>20.767317364958252</v>
      </c>
      <c r="AR113" s="58" t="s">
        <v>920</v>
      </c>
      <c r="AS113" s="58">
        <v>47.368421052631575</v>
      </c>
      <c r="AT113" s="58">
        <v>65.449203782597948</v>
      </c>
      <c r="AU113" s="58">
        <v>45.245329732162901</v>
      </c>
      <c r="AV113" s="58">
        <v>6.4890859553223201</v>
      </c>
      <c r="AW113" s="58">
        <v>1.3117527584208009</v>
      </c>
      <c r="AX113" s="58">
        <v>68.70337908527749</v>
      </c>
      <c r="AY113" s="58">
        <v>7.3162505501925104</v>
      </c>
      <c r="AZ113" s="58">
        <v>40.995662181608616</v>
      </c>
      <c r="BA113" s="58">
        <v>26.249999999999996</v>
      </c>
      <c r="BB113" s="58" t="s">
        <v>920</v>
      </c>
      <c r="BC113" s="58">
        <v>1.1403501082107443</v>
      </c>
      <c r="BD113" s="58">
        <v>0.52638735490047106</v>
      </c>
      <c r="BE113" s="58">
        <v>33.506749599902946</v>
      </c>
      <c r="BF113" s="58">
        <v>45.326420237355762</v>
      </c>
      <c r="BG113" s="58">
        <v>51.865386962890611</v>
      </c>
      <c r="BH113" s="58" t="s">
        <v>920</v>
      </c>
      <c r="BI113" s="58">
        <v>49.334103278785427</v>
      </c>
      <c r="BJ113" s="58" t="s">
        <v>920</v>
      </c>
      <c r="BK113" s="58" t="s">
        <v>920</v>
      </c>
      <c r="BL113" s="58">
        <v>0.5631572207778508</v>
      </c>
      <c r="BM113" s="58">
        <v>33.598007723679942</v>
      </c>
      <c r="BN113" s="58">
        <v>12.273626026931241</v>
      </c>
      <c r="BO113" s="58">
        <v>24.236552841132394</v>
      </c>
      <c r="BP113" s="58" t="s">
        <v>920</v>
      </c>
      <c r="BQ113" s="58">
        <v>50.550292727733584</v>
      </c>
      <c r="BR113" s="58">
        <v>63.669922350070919</v>
      </c>
      <c r="BS113" s="58">
        <v>8.0779917932167873</v>
      </c>
      <c r="BT113" s="58">
        <v>6.4206401161927635</v>
      </c>
      <c r="BU113" s="58">
        <v>25.676755299939131</v>
      </c>
      <c r="BV113" s="58">
        <v>21.874999999449209</v>
      </c>
      <c r="BW113" s="58">
        <v>4.7445388657547234</v>
      </c>
      <c r="BX113" s="58">
        <v>75</v>
      </c>
      <c r="BY113" s="58">
        <v>47.92617171298216</v>
      </c>
      <c r="BZ113" s="58">
        <v>17.393144308082945</v>
      </c>
      <c r="CA113" s="58">
        <v>52.537744728022382</v>
      </c>
      <c r="CB113" s="58" t="s">
        <v>920</v>
      </c>
      <c r="CC113" s="58">
        <v>65.531819059755392</v>
      </c>
      <c r="CD113" s="58" t="s">
        <v>920</v>
      </c>
      <c r="CE113" s="58">
        <v>48.493102576997224</v>
      </c>
      <c r="CF113" s="58">
        <v>22.293482137502881</v>
      </c>
      <c r="CG113" s="58">
        <v>10.201286547950533</v>
      </c>
      <c r="CH113" s="58">
        <v>45.822162645218953</v>
      </c>
      <c r="CI113" s="58">
        <v>67.708333333333343</v>
      </c>
      <c r="CJ113" s="58">
        <v>84.183673469387756</v>
      </c>
      <c r="CK113" s="58">
        <v>53.664792949038599</v>
      </c>
      <c r="CL113" s="58">
        <v>42.222222222222221</v>
      </c>
      <c r="CM113" s="58" t="s">
        <v>920</v>
      </c>
      <c r="CN113" s="58">
        <v>71.818181818181813</v>
      </c>
      <c r="CO113" s="58">
        <v>60.279870828848217</v>
      </c>
      <c r="CP113" s="58">
        <v>30.206704613973059</v>
      </c>
      <c r="CQ113" s="58">
        <v>84</v>
      </c>
      <c r="CR113" s="58">
        <v>121</v>
      </c>
      <c r="CS113" s="58" t="s">
        <v>920</v>
      </c>
      <c r="CT113" s="58">
        <v>111</v>
      </c>
      <c r="CU113" s="58">
        <v>99</v>
      </c>
      <c r="CV113" s="58">
        <v>64</v>
      </c>
      <c r="CW113" s="58">
        <v>66</v>
      </c>
      <c r="CX113" s="58">
        <v>92</v>
      </c>
      <c r="CY113" s="58">
        <v>47</v>
      </c>
      <c r="CZ113" s="58">
        <v>53</v>
      </c>
      <c r="DA113" s="58">
        <v>93</v>
      </c>
      <c r="DB113" s="58">
        <v>103</v>
      </c>
      <c r="DC113" s="58" t="s">
        <v>920</v>
      </c>
      <c r="DD113" s="58">
        <v>119</v>
      </c>
      <c r="DE113" s="58">
        <v>119</v>
      </c>
      <c r="DF113" s="58">
        <v>93</v>
      </c>
      <c r="DG113" s="58">
        <v>95</v>
      </c>
      <c r="DH113" s="58">
        <v>85</v>
      </c>
      <c r="DI113" s="58" t="s">
        <v>920</v>
      </c>
      <c r="DJ113" s="58">
        <v>68</v>
      </c>
      <c r="DK113" s="58" t="s">
        <v>920</v>
      </c>
      <c r="DL113" s="58" t="s">
        <v>920</v>
      </c>
      <c r="DM113" s="58">
        <v>104</v>
      </c>
      <c r="DN113" s="58">
        <v>111</v>
      </c>
      <c r="DO113" s="58">
        <v>86</v>
      </c>
      <c r="DP113" s="58">
        <v>90</v>
      </c>
      <c r="DQ113" s="58" t="s">
        <v>920</v>
      </c>
      <c r="DR113" s="58">
        <v>80</v>
      </c>
      <c r="DS113" s="58">
        <v>93</v>
      </c>
      <c r="DT113" s="58">
        <v>54</v>
      </c>
      <c r="DU113" s="58">
        <v>104</v>
      </c>
      <c r="DV113" s="58">
        <v>105</v>
      </c>
      <c r="DW113" s="58">
        <v>122</v>
      </c>
      <c r="DX113" s="58">
        <v>110</v>
      </c>
      <c r="DY113" s="58">
        <v>72</v>
      </c>
      <c r="DZ113" s="58">
        <v>92</v>
      </c>
      <c r="EA113" s="58">
        <v>117</v>
      </c>
      <c r="EB113" s="58">
        <v>91</v>
      </c>
      <c r="EC113" s="58" t="s">
        <v>920</v>
      </c>
      <c r="ED113" s="58">
        <v>39</v>
      </c>
      <c r="EE113" s="58" t="s">
        <v>920</v>
      </c>
      <c r="EF113" s="58">
        <v>79</v>
      </c>
      <c r="EG113" s="58">
        <v>91</v>
      </c>
      <c r="EH113" s="58">
        <v>74</v>
      </c>
      <c r="EI113" s="58">
        <v>87</v>
      </c>
      <c r="EJ113" s="58">
        <v>72</v>
      </c>
      <c r="EK113" s="58">
        <v>24</v>
      </c>
      <c r="EL113" s="58">
        <v>96</v>
      </c>
      <c r="EM113" s="58">
        <v>103</v>
      </c>
      <c r="EN113" s="58" t="s">
        <v>920</v>
      </c>
      <c r="EO113" s="58">
        <v>81</v>
      </c>
      <c r="EP113" s="58">
        <v>100</v>
      </c>
      <c r="EQ113" s="58">
        <v>110</v>
      </c>
    </row>
    <row r="114" spans="1:147" x14ac:dyDescent="0.45">
      <c r="A114" t="s">
        <v>118</v>
      </c>
      <c r="B114" s="59" t="s">
        <v>394</v>
      </c>
      <c r="C114" s="37" t="s">
        <v>37</v>
      </c>
      <c r="D114" s="37" t="s">
        <v>882</v>
      </c>
      <c r="E114" s="104">
        <v>7955.7529999999997</v>
      </c>
      <c r="F114" s="104">
        <v>10645000</v>
      </c>
      <c r="G114" s="87">
        <v>35.475847062277502</v>
      </c>
      <c r="H114" s="1" t="s">
        <v>242</v>
      </c>
      <c r="I114" s="58">
        <v>108</v>
      </c>
      <c r="J114" s="87">
        <v>26.187336408075151</v>
      </c>
      <c r="K114" s="87">
        <v>27.278986776140027</v>
      </c>
      <c r="L114" s="87">
        <v>39.129601568589869</v>
      </c>
      <c r="M114" s="87">
        <v>49.307463496304955</v>
      </c>
      <c r="N114" s="58">
        <v>112</v>
      </c>
      <c r="O114" s="58">
        <v>108</v>
      </c>
      <c r="P114" s="58">
        <v>109</v>
      </c>
      <c r="Q114" s="58">
        <v>84</v>
      </c>
      <c r="R114" s="58">
        <v>39.346310324362946</v>
      </c>
      <c r="S114" s="58">
        <v>11.885054742826023</v>
      </c>
      <c r="T114" s="58">
        <v>27.330644157036488</v>
      </c>
      <c r="U114" s="58">
        <v>39.945424067413377</v>
      </c>
      <c r="V114" s="58">
        <v>25.771924428236776</v>
      </c>
      <c r="W114" s="58">
        <v>16.119611832769923</v>
      </c>
      <c r="X114" s="58">
        <v>17.260599663697796</v>
      </c>
      <c r="Y114" s="58">
        <v>49.609933940014351</v>
      </c>
      <c r="Z114" s="58">
        <v>50.518271102057462</v>
      </c>
      <c r="AA114" s="58">
        <v>18.205154191538742</v>
      </c>
      <c r="AB114" s="58">
        <v>63.169090028780914</v>
      </c>
      <c r="AC114" s="58">
        <v>66.54814626859519</v>
      </c>
      <c r="AD114" s="58">
        <v>112</v>
      </c>
      <c r="AE114" s="58">
        <v>110</v>
      </c>
      <c r="AF114" s="58">
        <v>93</v>
      </c>
      <c r="AG114" s="58">
        <v>98</v>
      </c>
      <c r="AH114" s="58">
        <v>81</v>
      </c>
      <c r="AI114" s="58">
        <v>120</v>
      </c>
      <c r="AJ114" s="58">
        <v>123</v>
      </c>
      <c r="AK114" s="58">
        <v>98</v>
      </c>
      <c r="AL114" s="58">
        <v>95</v>
      </c>
      <c r="AM114" s="58">
        <v>115</v>
      </c>
      <c r="AN114" s="58">
        <v>74</v>
      </c>
      <c r="AO114" s="58">
        <v>57</v>
      </c>
      <c r="AP114" s="58">
        <v>16.677591319912299</v>
      </c>
      <c r="AQ114" s="58">
        <v>37.117802350944643</v>
      </c>
      <c r="AR114" s="58">
        <v>23.819184790296084</v>
      </c>
      <c r="AS114" s="58">
        <v>63.157894736842103</v>
      </c>
      <c r="AT114" s="58">
        <v>70.598149597181646</v>
      </c>
      <c r="AU114" s="58">
        <v>24.707239151000898</v>
      </c>
      <c r="AV114" s="58">
        <v>2.0648243986212722</v>
      </c>
      <c r="AW114" s="58">
        <v>0.47170097721852622</v>
      </c>
      <c r="AX114" s="58">
        <v>44.735488295633992</v>
      </c>
      <c r="AY114" s="58">
        <v>0.26820529983029973</v>
      </c>
      <c r="AZ114" s="58">
        <v>29.738385034008914</v>
      </c>
      <c r="BA114" s="58">
        <v>35.750000000000007</v>
      </c>
      <c r="BB114" s="58" t="s">
        <v>920</v>
      </c>
      <c r="BC114" s="58">
        <v>16.50354743710054</v>
      </c>
      <c r="BD114" s="58">
        <v>9.8395872394826061</v>
      </c>
      <c r="BE114" s="58">
        <v>27.564407220965741</v>
      </c>
      <c r="BF114" s="58">
        <v>40.451890041627152</v>
      </c>
      <c r="BG114" s="58">
        <v>81.925811767578011</v>
      </c>
      <c r="BH114" s="58" t="s">
        <v>920</v>
      </c>
      <c r="BI114" s="58">
        <v>37.739452277780558</v>
      </c>
      <c r="BJ114" s="58" t="s">
        <v>920</v>
      </c>
      <c r="BK114" s="58">
        <v>37.724668942468398</v>
      </c>
      <c r="BL114" s="58">
        <v>1.8516520644613745</v>
      </c>
      <c r="BM114" s="58">
        <v>34.882881582271622</v>
      </c>
      <c r="BN114" s="58">
        <v>19.704828994704656</v>
      </c>
      <c r="BO114" s="58">
        <v>9.031444084802148</v>
      </c>
      <c r="BP114" s="58">
        <v>0.85929266930126735</v>
      </c>
      <c r="BQ114" s="58">
        <v>39.757328535235217</v>
      </c>
      <c r="BR114" s="58">
        <v>13.585524763030431</v>
      </c>
      <c r="BS114" s="58">
        <v>5.3782053494711226</v>
      </c>
      <c r="BT114" s="58">
        <v>10.321340007054406</v>
      </c>
      <c r="BU114" s="58">
        <v>28.442646317330961</v>
      </c>
      <c r="BV114" s="58">
        <v>54.6874999996543</v>
      </c>
      <c r="BW114" s="58">
        <v>16.506002022655121</v>
      </c>
      <c r="BX114" s="58">
        <v>75</v>
      </c>
      <c r="BY114" s="58">
        <v>73.413521360431361</v>
      </c>
      <c r="BZ114" s="58">
        <v>26.089716462124418</v>
      </c>
      <c r="CA114" s="58">
        <v>66.028869280572437</v>
      </c>
      <c r="CB114" s="58">
        <v>81.411624244821525</v>
      </c>
      <c r="CC114" s="58">
        <v>28.542874420711449</v>
      </c>
      <c r="CD114" s="58" t="s">
        <v>920</v>
      </c>
      <c r="CE114" s="58">
        <v>41.194186788623284</v>
      </c>
      <c r="CF114" s="58">
        <v>7.6708212740304873</v>
      </c>
      <c r="CG114" s="58">
        <v>5.7504545119624506</v>
      </c>
      <c r="CH114" s="58">
        <v>60.411081322609483</v>
      </c>
      <c r="CI114" s="58">
        <v>80.46875</v>
      </c>
      <c r="CJ114" s="58">
        <v>44.132653061224488</v>
      </c>
      <c r="CK114" s="58">
        <v>53.122224466242017</v>
      </c>
      <c r="CL114" s="58">
        <v>64.444444444444443</v>
      </c>
      <c r="CM114" s="58" t="s">
        <v>920</v>
      </c>
      <c r="CN114" s="58">
        <v>63.636363636363633</v>
      </c>
      <c r="CO114" s="58">
        <v>68.783638320775026</v>
      </c>
      <c r="CP114" s="58">
        <v>70.004429252849405</v>
      </c>
      <c r="CQ114" s="58">
        <v>123</v>
      </c>
      <c r="CR114" s="58">
        <v>102</v>
      </c>
      <c r="CS114" s="58">
        <v>85</v>
      </c>
      <c r="CT114" s="58">
        <v>106</v>
      </c>
      <c r="CU114" s="58">
        <v>68</v>
      </c>
      <c r="CV114" s="58">
        <v>77</v>
      </c>
      <c r="CW114" s="58">
        <v>102</v>
      </c>
      <c r="CX114" s="58">
        <v>106</v>
      </c>
      <c r="CY114" s="58">
        <v>105</v>
      </c>
      <c r="CZ114" s="58">
        <v>112</v>
      </c>
      <c r="DA114" s="58">
        <v>100</v>
      </c>
      <c r="DB114" s="58">
        <v>75</v>
      </c>
      <c r="DC114" s="58" t="s">
        <v>920</v>
      </c>
      <c r="DD114" s="58">
        <v>68</v>
      </c>
      <c r="DE114" s="58">
        <v>77</v>
      </c>
      <c r="DF114" s="58">
        <v>102</v>
      </c>
      <c r="DG114" s="58">
        <v>97</v>
      </c>
      <c r="DH114" s="58">
        <v>62</v>
      </c>
      <c r="DI114" s="58" t="s">
        <v>920</v>
      </c>
      <c r="DJ114" s="58">
        <v>84</v>
      </c>
      <c r="DK114" s="58" t="s">
        <v>920</v>
      </c>
      <c r="DL114" s="58">
        <v>78</v>
      </c>
      <c r="DM114" s="58">
        <v>83</v>
      </c>
      <c r="DN114" s="58">
        <v>108</v>
      </c>
      <c r="DO114" s="58">
        <v>74</v>
      </c>
      <c r="DP114" s="58">
        <v>107</v>
      </c>
      <c r="DQ114" s="58">
        <v>101</v>
      </c>
      <c r="DR114" s="58">
        <v>101</v>
      </c>
      <c r="DS114" s="58">
        <v>124</v>
      </c>
      <c r="DT114" s="58">
        <v>55</v>
      </c>
      <c r="DU114" s="58">
        <v>91</v>
      </c>
      <c r="DV114" s="58">
        <v>99</v>
      </c>
      <c r="DW114" s="58">
        <v>87</v>
      </c>
      <c r="DX114" s="58">
        <v>104</v>
      </c>
      <c r="DY114" s="58">
        <v>72</v>
      </c>
      <c r="DZ114" s="58">
        <v>44</v>
      </c>
      <c r="EA114" s="58">
        <v>107</v>
      </c>
      <c r="EB114" s="58">
        <v>73</v>
      </c>
      <c r="EC114" s="58">
        <v>2</v>
      </c>
      <c r="ED114" s="58">
        <v>67</v>
      </c>
      <c r="EE114" s="58" t="s">
        <v>920</v>
      </c>
      <c r="EF114" s="58">
        <v>97</v>
      </c>
      <c r="EG114" s="58">
        <v>102</v>
      </c>
      <c r="EH114" s="58">
        <v>91</v>
      </c>
      <c r="EI114" s="58">
        <v>61</v>
      </c>
      <c r="EJ114" s="58">
        <v>43</v>
      </c>
      <c r="EK114" s="58">
        <v>101</v>
      </c>
      <c r="EL114" s="58">
        <v>97</v>
      </c>
      <c r="EM114" s="58">
        <v>92</v>
      </c>
      <c r="EN114" s="58" t="s">
        <v>920</v>
      </c>
      <c r="EO114" s="58">
        <v>99</v>
      </c>
      <c r="EP114" s="58">
        <v>85</v>
      </c>
      <c r="EQ114" s="58">
        <v>53</v>
      </c>
    </row>
    <row r="115" spans="1:147" x14ac:dyDescent="0.45">
      <c r="A115" t="s">
        <v>115</v>
      </c>
      <c r="B115" s="59" t="s">
        <v>393</v>
      </c>
      <c r="C115" s="37" t="s">
        <v>29</v>
      </c>
      <c r="D115" s="37" t="s">
        <v>881</v>
      </c>
      <c r="E115" s="104">
        <v>18509.449000000001</v>
      </c>
      <c r="F115" s="104">
        <v>46164000</v>
      </c>
      <c r="G115" s="87">
        <v>35.267657918833528</v>
      </c>
      <c r="H115" s="1" t="s">
        <v>238</v>
      </c>
      <c r="I115" s="58">
        <v>109</v>
      </c>
      <c r="J115" s="87">
        <v>37.233797421243501</v>
      </c>
      <c r="K115" s="87">
        <v>31.058334340966198</v>
      </c>
      <c r="L115" s="87">
        <v>32.926777358679082</v>
      </c>
      <c r="M115" s="87">
        <v>39.851722554445338</v>
      </c>
      <c r="N115" s="58">
        <v>84</v>
      </c>
      <c r="O115" s="58">
        <v>99</v>
      </c>
      <c r="P115" s="58">
        <v>119</v>
      </c>
      <c r="Q115" s="58">
        <v>110</v>
      </c>
      <c r="R115" s="58">
        <v>63.093669930119923</v>
      </c>
      <c r="S115" s="58">
        <v>20.597510114247754</v>
      </c>
      <c r="T115" s="58">
        <v>28.010212219362828</v>
      </c>
      <c r="U115" s="58">
        <v>53.083179113658367</v>
      </c>
      <c r="V115" s="58">
        <v>17.330368755035725</v>
      </c>
      <c r="W115" s="58">
        <v>22.761455154204498</v>
      </c>
      <c r="X115" s="58">
        <v>34.702589047626674</v>
      </c>
      <c r="Y115" s="58">
        <v>41.314200603316081</v>
      </c>
      <c r="Z115" s="58">
        <v>22.763542425094492</v>
      </c>
      <c r="AA115" s="58">
        <v>23.351122488143869</v>
      </c>
      <c r="AB115" s="58">
        <v>49.548613237548182</v>
      </c>
      <c r="AC115" s="58">
        <v>46.655431937643961</v>
      </c>
      <c r="AD115" s="58">
        <v>79</v>
      </c>
      <c r="AE115" s="58">
        <v>79</v>
      </c>
      <c r="AF115" s="58">
        <v>92</v>
      </c>
      <c r="AG115" s="58">
        <v>57</v>
      </c>
      <c r="AH115" s="58">
        <v>116</v>
      </c>
      <c r="AI115" s="58">
        <v>109</v>
      </c>
      <c r="AJ115" s="58">
        <v>109</v>
      </c>
      <c r="AK115" s="58">
        <v>111</v>
      </c>
      <c r="AL115" s="58">
        <v>122</v>
      </c>
      <c r="AM115" s="58">
        <v>101</v>
      </c>
      <c r="AN115" s="58">
        <v>97</v>
      </c>
      <c r="AO115" s="58">
        <v>113</v>
      </c>
      <c r="AP115" s="58">
        <v>63.272102353901197</v>
      </c>
      <c r="AQ115" s="58">
        <v>45.741187831492319</v>
      </c>
      <c r="AR115" s="58">
        <v>41.287462811313908</v>
      </c>
      <c r="AS115" s="58">
        <v>90.421052631578974</v>
      </c>
      <c r="AT115" s="58">
        <v>76.856342492472251</v>
      </c>
      <c r="AU115" s="58">
        <v>60.983871459960902</v>
      </c>
      <c r="AV115" s="58">
        <v>1.3727960863152062</v>
      </c>
      <c r="AW115" s="58">
        <v>0.31470650283244439</v>
      </c>
      <c r="AX115" s="58">
        <v>51.05319950762793</v>
      </c>
      <c r="AY115" s="58">
        <v>29.649338360215431</v>
      </c>
      <c r="AZ115" s="58">
        <v>49.75745717108903</v>
      </c>
      <c r="BA115" s="58">
        <v>34</v>
      </c>
      <c r="BB115" s="58" t="s">
        <v>920</v>
      </c>
      <c r="BC115" s="58">
        <v>0.27317948699945815</v>
      </c>
      <c r="BD115" s="58">
        <v>32.916716132387492</v>
      </c>
      <c r="BE115" s="58">
        <v>54.49695486702727</v>
      </c>
      <c r="BF115" s="58">
        <v>52.880891609064875</v>
      </c>
      <c r="BG115" s="58">
        <v>72.038153846153847</v>
      </c>
      <c r="BH115" s="58" t="s">
        <v>920</v>
      </c>
      <c r="BI115" s="58" t="s">
        <v>920</v>
      </c>
      <c r="BJ115" s="58">
        <v>0.83725459836237925</v>
      </c>
      <c r="BK115" s="58">
        <v>45.522797055342849</v>
      </c>
      <c r="BL115" s="58">
        <v>5.6310546114019466</v>
      </c>
      <c r="BM115" s="58">
        <v>19.635230567485955</v>
      </c>
      <c r="BN115" s="58" t="s">
        <v>920</v>
      </c>
      <c r="BO115" s="58">
        <v>41.186469105391879</v>
      </c>
      <c r="BP115" s="58">
        <v>7.462665789735663</v>
      </c>
      <c r="BQ115" s="58">
        <v>37.841423190810062</v>
      </c>
      <c r="BR115" s="58">
        <v>59.178319739781429</v>
      </c>
      <c r="BS115" s="58" t="s">
        <v>920</v>
      </c>
      <c r="BT115" s="58">
        <v>7.0880242122885369</v>
      </c>
      <c r="BU115" s="58">
        <v>18.502862139917418</v>
      </c>
      <c r="BV115" s="58">
        <v>36.249999999601563</v>
      </c>
      <c r="BW115" s="58" t="s">
        <v>920</v>
      </c>
      <c r="BX115" s="58">
        <v>75</v>
      </c>
      <c r="BY115" s="58">
        <v>35.503940273745336</v>
      </c>
      <c r="BZ115" s="58">
        <v>0</v>
      </c>
      <c r="CA115" s="58">
        <v>64.779239210688473</v>
      </c>
      <c r="CB115" s="58">
        <v>26.274930489689496</v>
      </c>
      <c r="CC115" s="58">
        <v>0</v>
      </c>
      <c r="CD115" s="58">
        <v>8.9900510929509115E-3</v>
      </c>
      <c r="CE115" s="58">
        <v>63.789265013109777</v>
      </c>
      <c r="CF115" s="58">
        <v>28.466056678986362</v>
      </c>
      <c r="CG115" s="58">
        <v>1.1401782093863777</v>
      </c>
      <c r="CH115" s="58">
        <v>51.630920464700623</v>
      </c>
      <c r="CI115" s="58">
        <v>36.197916666666671</v>
      </c>
      <c r="CJ115" s="58" t="s">
        <v>920</v>
      </c>
      <c r="CK115" s="58">
        <v>72.085391925006334</v>
      </c>
      <c r="CL115" s="58">
        <v>86.666666666666671</v>
      </c>
      <c r="CM115" s="58">
        <v>10.054314391512934</v>
      </c>
      <c r="CN115" s="58">
        <v>38.181818181818187</v>
      </c>
      <c r="CO115" s="58">
        <v>63.724434876210971</v>
      </c>
      <c r="CP115" s="58">
        <v>62.655653935400814</v>
      </c>
      <c r="CQ115" s="58">
        <v>70</v>
      </c>
      <c r="CR115" s="58">
        <v>88</v>
      </c>
      <c r="CS115" s="58">
        <v>40</v>
      </c>
      <c r="CT115" s="58">
        <v>81</v>
      </c>
      <c r="CU115" s="58">
        <v>36</v>
      </c>
      <c r="CV115" s="58">
        <v>58</v>
      </c>
      <c r="CW115" s="58">
        <v>106</v>
      </c>
      <c r="CX115" s="58">
        <v>111</v>
      </c>
      <c r="CY115" s="58">
        <v>96</v>
      </c>
      <c r="CZ115" s="58">
        <v>28</v>
      </c>
      <c r="DA115" s="58">
        <v>80</v>
      </c>
      <c r="DB115" s="58">
        <v>82</v>
      </c>
      <c r="DC115" s="58" t="s">
        <v>920</v>
      </c>
      <c r="DD115" s="58">
        <v>126</v>
      </c>
      <c r="DE115" s="58">
        <v>30</v>
      </c>
      <c r="DF115" s="58">
        <v>59</v>
      </c>
      <c r="DG115" s="58">
        <v>87</v>
      </c>
      <c r="DH115" s="58">
        <v>71</v>
      </c>
      <c r="DI115" s="58" t="s">
        <v>920</v>
      </c>
      <c r="DJ115" s="58" t="s">
        <v>920</v>
      </c>
      <c r="DK115" s="58">
        <v>88</v>
      </c>
      <c r="DL115" s="58">
        <v>49</v>
      </c>
      <c r="DM115" s="58">
        <v>59</v>
      </c>
      <c r="DN115" s="58">
        <v>122</v>
      </c>
      <c r="DO115" s="58" t="s">
        <v>920</v>
      </c>
      <c r="DP115" s="58">
        <v>49</v>
      </c>
      <c r="DQ115" s="58">
        <v>63</v>
      </c>
      <c r="DR115" s="58">
        <v>103</v>
      </c>
      <c r="DS115" s="58">
        <v>97</v>
      </c>
      <c r="DT115" s="58" t="s">
        <v>920</v>
      </c>
      <c r="DU115" s="58">
        <v>101</v>
      </c>
      <c r="DV115" s="58">
        <v>120</v>
      </c>
      <c r="DW115" s="58">
        <v>114</v>
      </c>
      <c r="DX115" s="58" t="s">
        <v>920</v>
      </c>
      <c r="DY115" s="58">
        <v>72</v>
      </c>
      <c r="DZ115" s="58">
        <v>107</v>
      </c>
      <c r="EA115" s="58">
        <v>126</v>
      </c>
      <c r="EB115" s="58">
        <v>74</v>
      </c>
      <c r="EC115" s="58">
        <v>98</v>
      </c>
      <c r="ED115" s="58">
        <v>81</v>
      </c>
      <c r="EE115" s="58">
        <v>79</v>
      </c>
      <c r="EF115" s="58">
        <v>39</v>
      </c>
      <c r="EG115" s="58">
        <v>81</v>
      </c>
      <c r="EH115" s="58">
        <v>121</v>
      </c>
      <c r="EI115" s="58">
        <v>80</v>
      </c>
      <c r="EJ115" s="58">
        <v>116</v>
      </c>
      <c r="EK115" s="58" t="s">
        <v>920</v>
      </c>
      <c r="EL115" s="58">
        <v>43</v>
      </c>
      <c r="EM115" s="58">
        <v>63</v>
      </c>
      <c r="EN115" s="58">
        <v>75</v>
      </c>
      <c r="EO115" s="58">
        <v>120</v>
      </c>
      <c r="EP115" s="58">
        <v>94</v>
      </c>
      <c r="EQ115" s="58">
        <v>64</v>
      </c>
    </row>
    <row r="116" spans="1:147" x14ac:dyDescent="0.45">
      <c r="A116" t="s">
        <v>403</v>
      </c>
      <c r="B116" s="59" t="s">
        <v>402</v>
      </c>
      <c r="C116" s="37" t="s">
        <v>25</v>
      </c>
      <c r="D116" s="37" t="s">
        <v>882</v>
      </c>
      <c r="E116" s="104">
        <v>4719.2439999999997</v>
      </c>
      <c r="F116" s="104">
        <v>14111000</v>
      </c>
      <c r="G116" s="87">
        <v>34.665958080762863</v>
      </c>
      <c r="H116" s="1" t="s">
        <v>592</v>
      </c>
      <c r="I116" s="58">
        <v>110</v>
      </c>
      <c r="J116" s="87">
        <v>23.927670619340564</v>
      </c>
      <c r="K116" s="87">
        <v>23.976659672714714</v>
      </c>
      <c r="L116" s="87">
        <v>51.785476462267134</v>
      </c>
      <c r="M116" s="87">
        <v>38.974025568729054</v>
      </c>
      <c r="N116" s="58">
        <v>115</v>
      </c>
      <c r="O116" s="58">
        <v>117</v>
      </c>
      <c r="P116" s="58">
        <v>85</v>
      </c>
      <c r="Q116" s="58">
        <v>111</v>
      </c>
      <c r="R116" s="58">
        <v>30.681440774201018</v>
      </c>
      <c r="S116" s="58">
        <v>10.727109018512243</v>
      </c>
      <c r="T116" s="58">
        <v>30.374462065308435</v>
      </c>
      <c r="U116" s="58">
        <v>21.548538371636113</v>
      </c>
      <c r="V116" s="58">
        <v>23.053346800219074</v>
      </c>
      <c r="W116" s="58">
        <v>27.328093846288958</v>
      </c>
      <c r="X116" s="58">
        <v>38.120366086275403</v>
      </c>
      <c r="Y116" s="58">
        <v>60.212523519381399</v>
      </c>
      <c r="Z116" s="58">
        <v>57.023539781144599</v>
      </c>
      <c r="AA116" s="58">
        <v>20.564072073058281</v>
      </c>
      <c r="AB116" s="58">
        <v>45.575464824008215</v>
      </c>
      <c r="AC116" s="58">
        <v>50.782539809120685</v>
      </c>
      <c r="AD116" s="58">
        <v>119</v>
      </c>
      <c r="AE116" s="58">
        <v>114</v>
      </c>
      <c r="AF116" s="58">
        <v>84</v>
      </c>
      <c r="AG116" s="58">
        <v>120</v>
      </c>
      <c r="AH116" s="58">
        <v>94</v>
      </c>
      <c r="AI116" s="58">
        <v>99</v>
      </c>
      <c r="AJ116" s="58">
        <v>102</v>
      </c>
      <c r="AK116" s="58">
        <v>70</v>
      </c>
      <c r="AL116" s="58">
        <v>81</v>
      </c>
      <c r="AM116" s="58">
        <v>111</v>
      </c>
      <c r="AN116" s="58">
        <v>106</v>
      </c>
      <c r="AO116" s="58">
        <v>104</v>
      </c>
      <c r="AP116" s="58">
        <v>22.534180535264898</v>
      </c>
      <c r="AQ116" s="58">
        <v>27.819570056979178</v>
      </c>
      <c r="AR116" s="58">
        <v>14.663845645109838</v>
      </c>
      <c r="AS116" s="58">
        <v>21.052631578947366</v>
      </c>
      <c r="AT116" s="58">
        <v>67.336976054703797</v>
      </c>
      <c r="AU116" s="58" t="s">
        <v>920</v>
      </c>
      <c r="AV116" s="58">
        <v>0.83548393095212115</v>
      </c>
      <c r="AW116" s="58">
        <v>0.30416179616903238</v>
      </c>
      <c r="AX116" s="58">
        <v>39.992738285794623</v>
      </c>
      <c r="AY116" s="58">
        <v>1.7760520611331896</v>
      </c>
      <c r="AZ116" s="58">
        <v>65.068886304526117</v>
      </c>
      <c r="BA116" s="58">
        <v>21.999999999999996</v>
      </c>
      <c r="BB116" s="58" t="s">
        <v>920</v>
      </c>
      <c r="BC116" s="58">
        <v>4.0544998913991952</v>
      </c>
      <c r="BD116" s="58">
        <v>5.4369101223237202</v>
      </c>
      <c r="BE116" s="58">
        <v>46.038086325760062</v>
      </c>
      <c r="BF116" s="58">
        <v>9.5210510063092872</v>
      </c>
      <c r="BG116" s="58">
        <v>25.198106032151387</v>
      </c>
      <c r="BH116" s="58" t="s">
        <v>920</v>
      </c>
      <c r="BI116" s="58">
        <v>33.192530316602173</v>
      </c>
      <c r="BJ116" s="58" t="s">
        <v>920</v>
      </c>
      <c r="BK116" s="58">
        <v>35.487125124969346</v>
      </c>
      <c r="BL116" s="58">
        <v>0.48038495908570178</v>
      </c>
      <c r="BM116" s="58">
        <v>42.27210933458452</v>
      </c>
      <c r="BN116" s="58">
        <v>12.384078357993392</v>
      </c>
      <c r="BO116" s="58" t="s">
        <v>920</v>
      </c>
      <c r="BP116" s="58" t="s">
        <v>920</v>
      </c>
      <c r="BQ116" s="58">
        <v>19.159515161609836</v>
      </c>
      <c r="BR116" s="58">
        <v>89.837132889024645</v>
      </c>
      <c r="BS116" s="58" t="s">
        <v>920</v>
      </c>
      <c r="BT116" s="58">
        <v>5.3644502081917436</v>
      </c>
      <c r="BU116" s="58">
        <v>34.825191037540051</v>
      </c>
      <c r="BV116" s="58">
        <v>43.749999999648438</v>
      </c>
      <c r="BW116" s="58">
        <v>44.200408724795231</v>
      </c>
      <c r="BX116" s="58">
        <v>100</v>
      </c>
      <c r="BY116" s="58">
        <v>78.287017834923262</v>
      </c>
      <c r="BZ116" s="58">
        <v>33.336859923825642</v>
      </c>
      <c r="CA116" s="58">
        <v>55.46876597723913</v>
      </c>
      <c r="CB116" s="58" t="s">
        <v>920</v>
      </c>
      <c r="CC116" s="58">
        <v>82.264993442369047</v>
      </c>
      <c r="CD116" s="58" t="s">
        <v>920</v>
      </c>
      <c r="CE116" s="58">
        <v>38.712122956230459</v>
      </c>
      <c r="CF116" s="58" t="s">
        <v>920</v>
      </c>
      <c r="CG116" s="58">
        <v>2.4160211898861026</v>
      </c>
      <c r="CH116" s="58">
        <v>24.508489722966946</v>
      </c>
      <c r="CI116" s="58">
        <v>56.640625000000014</v>
      </c>
      <c r="CJ116" s="58">
        <v>72.959183673469397</v>
      </c>
      <c r="CK116" s="58">
        <v>38.195375824646014</v>
      </c>
      <c r="CL116" s="58">
        <v>6.666666666666667</v>
      </c>
      <c r="CM116" s="58" t="s">
        <v>920</v>
      </c>
      <c r="CN116" s="58">
        <v>76.363636363636374</v>
      </c>
      <c r="CO116" s="58">
        <v>62.217438105489776</v>
      </c>
      <c r="CP116" s="58">
        <v>20.866423249805095</v>
      </c>
      <c r="CQ116" s="58">
        <v>120</v>
      </c>
      <c r="CR116" s="58">
        <v>118</v>
      </c>
      <c r="CS116" s="58">
        <v>103</v>
      </c>
      <c r="CT116" s="58">
        <v>119</v>
      </c>
      <c r="CU116" s="58">
        <v>88</v>
      </c>
      <c r="CV116" s="58" t="s">
        <v>920</v>
      </c>
      <c r="CW116" s="58">
        <v>114</v>
      </c>
      <c r="CX116" s="58">
        <v>112</v>
      </c>
      <c r="CY116" s="58">
        <v>111</v>
      </c>
      <c r="CZ116" s="58">
        <v>85</v>
      </c>
      <c r="DA116" s="58">
        <v>51</v>
      </c>
      <c r="DB116" s="58">
        <v>113</v>
      </c>
      <c r="DC116" s="58" t="s">
        <v>920</v>
      </c>
      <c r="DD116" s="58">
        <v>100</v>
      </c>
      <c r="DE116" s="58">
        <v>92</v>
      </c>
      <c r="DF116" s="58">
        <v>73</v>
      </c>
      <c r="DG116" s="58">
        <v>115</v>
      </c>
      <c r="DH116" s="58">
        <v>92</v>
      </c>
      <c r="DI116" s="58" t="s">
        <v>920</v>
      </c>
      <c r="DJ116" s="58">
        <v>93</v>
      </c>
      <c r="DK116" s="58" t="s">
        <v>920</v>
      </c>
      <c r="DL116" s="58">
        <v>88</v>
      </c>
      <c r="DM116" s="58">
        <v>108</v>
      </c>
      <c r="DN116" s="58">
        <v>100</v>
      </c>
      <c r="DO116" s="58">
        <v>84</v>
      </c>
      <c r="DP116" s="58" t="s">
        <v>920</v>
      </c>
      <c r="DQ116" s="58" t="s">
        <v>920</v>
      </c>
      <c r="DR116" s="58">
        <v>126</v>
      </c>
      <c r="DS116" s="58">
        <v>62</v>
      </c>
      <c r="DT116" s="58" t="s">
        <v>920</v>
      </c>
      <c r="DU116" s="58">
        <v>110</v>
      </c>
      <c r="DV116" s="58">
        <v>87</v>
      </c>
      <c r="DW116" s="58">
        <v>106</v>
      </c>
      <c r="DX116" s="58">
        <v>62</v>
      </c>
      <c r="DY116" s="58">
        <v>1</v>
      </c>
      <c r="DZ116" s="58">
        <v>31</v>
      </c>
      <c r="EA116" s="58">
        <v>103</v>
      </c>
      <c r="EB116" s="58">
        <v>87</v>
      </c>
      <c r="EC116" s="58" t="s">
        <v>920</v>
      </c>
      <c r="ED116" s="58">
        <v>9</v>
      </c>
      <c r="EE116" s="58" t="s">
        <v>920</v>
      </c>
      <c r="EF116" s="58">
        <v>105</v>
      </c>
      <c r="EG116" s="58" t="s">
        <v>920</v>
      </c>
      <c r="EH116" s="58">
        <v>109</v>
      </c>
      <c r="EI116" s="58">
        <v>108</v>
      </c>
      <c r="EJ116" s="58">
        <v>94</v>
      </c>
      <c r="EK116" s="58">
        <v>56</v>
      </c>
      <c r="EL116" s="58">
        <v>111</v>
      </c>
      <c r="EM116" s="58">
        <v>122</v>
      </c>
      <c r="EN116" s="58" t="s">
        <v>920</v>
      </c>
      <c r="EO116" s="58">
        <v>69</v>
      </c>
      <c r="EP116" s="58">
        <v>97</v>
      </c>
      <c r="EQ116" s="58">
        <v>119</v>
      </c>
    </row>
    <row r="117" spans="1:147" x14ac:dyDescent="0.45">
      <c r="A117" t="s">
        <v>116</v>
      </c>
      <c r="B117" s="59" t="s">
        <v>398</v>
      </c>
      <c r="C117" s="37" t="s">
        <v>25</v>
      </c>
      <c r="D117" s="37" t="s">
        <v>881</v>
      </c>
      <c r="E117" s="104">
        <v>19053.101999999999</v>
      </c>
      <c r="F117" s="104">
        <v>2480000</v>
      </c>
      <c r="G117" s="87">
        <v>34.398957952364867</v>
      </c>
      <c r="H117" s="1" t="s">
        <v>240</v>
      </c>
      <c r="I117" s="58">
        <v>111</v>
      </c>
      <c r="J117" s="87">
        <v>24.528052195989815</v>
      </c>
      <c r="K117" s="87">
        <v>27.20630565862443</v>
      </c>
      <c r="L117" s="87">
        <v>49.622478017089783</v>
      </c>
      <c r="M117" s="87">
        <v>36.238995937755455</v>
      </c>
      <c r="N117" s="58">
        <v>114</v>
      </c>
      <c r="O117" s="58">
        <v>109</v>
      </c>
      <c r="P117" s="58">
        <v>95</v>
      </c>
      <c r="Q117" s="58">
        <v>118</v>
      </c>
      <c r="R117" s="58">
        <v>57.673163768066296</v>
      </c>
      <c r="S117" s="58">
        <v>2.5378520225980785</v>
      </c>
      <c r="T117" s="58">
        <v>13.373140797305071</v>
      </c>
      <c r="U117" s="58">
        <v>34.392095440606575</v>
      </c>
      <c r="V117" s="58">
        <v>23.191548969525808</v>
      </c>
      <c r="W117" s="58">
        <v>24.035272565740911</v>
      </c>
      <c r="X117" s="58">
        <v>44.324775334867702</v>
      </c>
      <c r="Y117" s="58">
        <v>53.801958943687609</v>
      </c>
      <c r="Z117" s="58">
        <v>50.740699772714045</v>
      </c>
      <c r="AA117" s="58">
        <v>20.943948959973095</v>
      </c>
      <c r="AB117" s="58">
        <v>29.296243657842101</v>
      </c>
      <c r="AC117" s="58">
        <v>58.476795195451167</v>
      </c>
      <c r="AD117" s="58">
        <v>91</v>
      </c>
      <c r="AE117" s="58">
        <v>121</v>
      </c>
      <c r="AF117" s="58">
        <v>123</v>
      </c>
      <c r="AG117" s="58">
        <v>105</v>
      </c>
      <c r="AH117" s="58">
        <v>92</v>
      </c>
      <c r="AI117" s="58">
        <v>103</v>
      </c>
      <c r="AJ117" s="58">
        <v>89</v>
      </c>
      <c r="AK117" s="58">
        <v>82</v>
      </c>
      <c r="AL117" s="58">
        <v>93</v>
      </c>
      <c r="AM117" s="58">
        <v>110</v>
      </c>
      <c r="AN117" s="58">
        <v>122</v>
      </c>
      <c r="AO117" s="58">
        <v>86</v>
      </c>
      <c r="AP117" s="58">
        <v>50.298674378269901</v>
      </c>
      <c r="AQ117" s="58">
        <v>71.560643256559175</v>
      </c>
      <c r="AR117" s="58">
        <v>3.1354306262266753</v>
      </c>
      <c r="AS117" s="58">
        <v>89.473684210526315</v>
      </c>
      <c r="AT117" s="58">
        <v>69.46901530800821</v>
      </c>
      <c r="AU117" s="58">
        <v>62.101534828807502</v>
      </c>
      <c r="AV117" s="58">
        <v>1.9351551384627166</v>
      </c>
      <c r="AW117" s="58">
        <v>1.804814801890003</v>
      </c>
      <c r="AX117" s="58">
        <v>5.4130254615565576</v>
      </c>
      <c r="AY117" s="58">
        <v>0.99841268848303855</v>
      </c>
      <c r="AZ117" s="58">
        <v>0</v>
      </c>
      <c r="BA117" s="58">
        <v>30.75</v>
      </c>
      <c r="BB117" s="58" t="s">
        <v>920</v>
      </c>
      <c r="BC117" s="58">
        <v>9.3694223919152169</v>
      </c>
      <c r="BD117" s="58">
        <v>3.108610412937483</v>
      </c>
      <c r="BE117" s="58">
        <v>53.223506993553428</v>
      </c>
      <c r="BF117" s="58">
        <v>46.844168915328829</v>
      </c>
      <c r="BG117" s="58" t="s">
        <v>920</v>
      </c>
      <c r="BH117" s="58" t="s">
        <v>920</v>
      </c>
      <c r="BI117" s="58">
        <v>40.467605454487575</v>
      </c>
      <c r="BJ117" s="58" t="s">
        <v>920</v>
      </c>
      <c r="BK117" s="58">
        <v>28.634197545042479</v>
      </c>
      <c r="BL117" s="58">
        <v>0.47284390904736928</v>
      </c>
      <c r="BM117" s="58">
        <v>27.638021679238701</v>
      </c>
      <c r="BN117" s="58">
        <v>18.728505806679578</v>
      </c>
      <c r="BO117" s="58">
        <v>25.73929021130445</v>
      </c>
      <c r="BP117" s="58" t="s">
        <v>920</v>
      </c>
      <c r="BQ117" s="58">
        <v>49.412868573345747</v>
      </c>
      <c r="BR117" s="58">
        <v>74.475030781843174</v>
      </c>
      <c r="BS117" s="58">
        <v>47.005618748638497</v>
      </c>
      <c r="BT117" s="58">
        <v>6.4055832356433697</v>
      </c>
      <c r="BU117" s="58">
        <v>54.676497613973538</v>
      </c>
      <c r="BV117" s="58">
        <v>66.249999999789068</v>
      </c>
      <c r="BW117" s="58">
        <v>21.579771596587509</v>
      </c>
      <c r="BX117" s="58">
        <v>50</v>
      </c>
      <c r="BY117" s="58">
        <v>76.503525508087932</v>
      </c>
      <c r="BZ117" s="58">
        <v>23.190859077443925</v>
      </c>
      <c r="CA117" s="58">
        <v>48.863601582260316</v>
      </c>
      <c r="CB117" s="58" t="s">
        <v>920</v>
      </c>
      <c r="CC117" s="58">
        <v>80.167638658437909</v>
      </c>
      <c r="CD117" s="58" t="s">
        <v>920</v>
      </c>
      <c r="CE117" s="58">
        <v>36.956985177363478</v>
      </c>
      <c r="CF117" s="58">
        <v>22.665597767937459</v>
      </c>
      <c r="CG117" s="58">
        <v>3.2092639346183574</v>
      </c>
      <c r="CH117" s="58">
        <v>3.9767649687220818</v>
      </c>
      <c r="CI117" s="58">
        <v>58.984374999999986</v>
      </c>
      <c r="CJ117" s="58">
        <v>20.663265306122454</v>
      </c>
      <c r="CK117" s="58">
        <v>29.191916703486033</v>
      </c>
      <c r="CL117" s="58">
        <v>44.444444444444443</v>
      </c>
      <c r="CM117" s="58" t="s">
        <v>920</v>
      </c>
      <c r="CN117" s="58">
        <v>47.272727272727273</v>
      </c>
      <c r="CO117" s="58">
        <v>81.27018299246501</v>
      </c>
      <c r="CP117" s="58">
        <v>49.330506197877988</v>
      </c>
      <c r="CQ117" s="58">
        <v>96</v>
      </c>
      <c r="CR117" s="58">
        <v>56</v>
      </c>
      <c r="CS117" s="58">
        <v>121</v>
      </c>
      <c r="CT117" s="58">
        <v>83</v>
      </c>
      <c r="CU117" s="58">
        <v>76</v>
      </c>
      <c r="CV117" s="58">
        <v>57</v>
      </c>
      <c r="CW117" s="58">
        <v>104</v>
      </c>
      <c r="CX117" s="58">
        <v>84</v>
      </c>
      <c r="CY117" s="58">
        <v>119</v>
      </c>
      <c r="CZ117" s="58">
        <v>96</v>
      </c>
      <c r="DA117" s="58">
        <v>105</v>
      </c>
      <c r="DB117" s="58">
        <v>93</v>
      </c>
      <c r="DC117" s="58" t="s">
        <v>920</v>
      </c>
      <c r="DD117" s="58">
        <v>84</v>
      </c>
      <c r="DE117" s="58">
        <v>106</v>
      </c>
      <c r="DF117" s="58">
        <v>62</v>
      </c>
      <c r="DG117" s="58">
        <v>94</v>
      </c>
      <c r="DH117" s="58" t="s">
        <v>920</v>
      </c>
      <c r="DI117" s="58" t="s">
        <v>920</v>
      </c>
      <c r="DJ117" s="58">
        <v>79</v>
      </c>
      <c r="DK117" s="58" t="s">
        <v>920</v>
      </c>
      <c r="DL117" s="58">
        <v>112</v>
      </c>
      <c r="DM117" s="58">
        <v>109</v>
      </c>
      <c r="DN117" s="58">
        <v>115</v>
      </c>
      <c r="DO117" s="58">
        <v>78</v>
      </c>
      <c r="DP117" s="58">
        <v>87</v>
      </c>
      <c r="DQ117" s="58" t="s">
        <v>920</v>
      </c>
      <c r="DR117" s="58">
        <v>87</v>
      </c>
      <c r="DS117" s="58">
        <v>84</v>
      </c>
      <c r="DT117" s="58">
        <v>24</v>
      </c>
      <c r="DU117" s="58">
        <v>105</v>
      </c>
      <c r="DV117" s="58">
        <v>48</v>
      </c>
      <c r="DW117" s="58">
        <v>75</v>
      </c>
      <c r="DX117" s="58">
        <v>100</v>
      </c>
      <c r="DY117" s="58">
        <v>107</v>
      </c>
      <c r="DZ117" s="58">
        <v>37</v>
      </c>
      <c r="EA117" s="58">
        <v>112</v>
      </c>
      <c r="EB117" s="58">
        <v>96</v>
      </c>
      <c r="EC117" s="58" t="s">
        <v>920</v>
      </c>
      <c r="ED117" s="58">
        <v>14</v>
      </c>
      <c r="EE117" s="58" t="s">
        <v>920</v>
      </c>
      <c r="EF117" s="58">
        <v>112</v>
      </c>
      <c r="EG117" s="58">
        <v>90</v>
      </c>
      <c r="EH117" s="58">
        <v>106</v>
      </c>
      <c r="EI117" s="58">
        <v>123</v>
      </c>
      <c r="EJ117" s="58">
        <v>90</v>
      </c>
      <c r="EK117" s="58">
        <v>111</v>
      </c>
      <c r="EL117" s="58">
        <v>120</v>
      </c>
      <c r="EM117" s="58">
        <v>100</v>
      </c>
      <c r="EN117" s="58" t="s">
        <v>920</v>
      </c>
      <c r="EO117" s="58">
        <v>114</v>
      </c>
      <c r="EP117" s="58">
        <v>41</v>
      </c>
      <c r="EQ117" s="58">
        <v>81</v>
      </c>
    </row>
    <row r="118" spans="1:147" x14ac:dyDescent="0.45">
      <c r="A118" t="s">
        <v>125</v>
      </c>
      <c r="B118" s="59" t="s">
        <v>407</v>
      </c>
      <c r="C118" s="37" t="s">
        <v>25</v>
      </c>
      <c r="D118" s="37" t="s">
        <v>883</v>
      </c>
      <c r="E118" s="104">
        <v>3904.2449999999999</v>
      </c>
      <c r="F118" s="104">
        <v>48657000</v>
      </c>
      <c r="G118" s="87">
        <v>34.285730581809965</v>
      </c>
      <c r="H118" s="1" t="s">
        <v>252</v>
      </c>
      <c r="I118" s="58">
        <v>112</v>
      </c>
      <c r="J118" s="87">
        <v>27.153107920569472</v>
      </c>
      <c r="K118" s="87">
        <v>24.815205186959407</v>
      </c>
      <c r="L118" s="87">
        <v>46.310359951846664</v>
      </c>
      <c r="M118" s="87">
        <v>38.864249267864317</v>
      </c>
      <c r="N118" s="58">
        <v>111</v>
      </c>
      <c r="O118" s="58">
        <v>116</v>
      </c>
      <c r="P118" s="58">
        <v>101</v>
      </c>
      <c r="Q118" s="58">
        <v>113</v>
      </c>
      <c r="R118" s="58">
        <v>47.306322948294081</v>
      </c>
      <c r="S118" s="58">
        <v>15.856498414304511</v>
      </c>
      <c r="T118" s="58">
        <v>18.296502399109826</v>
      </c>
      <c r="U118" s="58">
        <v>25.987415630101321</v>
      </c>
      <c r="V118" s="58">
        <v>18.840194213902873</v>
      </c>
      <c r="W118" s="58">
        <v>29.618005716874034</v>
      </c>
      <c r="X118" s="58">
        <v>35.458717310232601</v>
      </c>
      <c r="Y118" s="58">
        <v>51.33671015848298</v>
      </c>
      <c r="Z118" s="58">
        <v>52.135652386824397</v>
      </c>
      <c r="AA118" s="58">
        <v>26.081063060472882</v>
      </c>
      <c r="AB118" s="58">
        <v>46.812678755105452</v>
      </c>
      <c r="AC118" s="58">
        <v>43.699005988014612</v>
      </c>
      <c r="AD118" s="58">
        <v>106</v>
      </c>
      <c r="AE118" s="58">
        <v>96</v>
      </c>
      <c r="AF118" s="58">
        <v>112</v>
      </c>
      <c r="AG118" s="58">
        <v>118</v>
      </c>
      <c r="AH118" s="58">
        <v>111</v>
      </c>
      <c r="AI118" s="58">
        <v>92</v>
      </c>
      <c r="AJ118" s="58">
        <v>108</v>
      </c>
      <c r="AK118" s="58">
        <v>91</v>
      </c>
      <c r="AL118" s="58">
        <v>90</v>
      </c>
      <c r="AM118" s="58">
        <v>94</v>
      </c>
      <c r="AN118" s="58">
        <v>105</v>
      </c>
      <c r="AO118" s="58">
        <v>120</v>
      </c>
      <c r="AP118" s="58">
        <v>38.795922545263203</v>
      </c>
      <c r="AQ118" s="58">
        <v>26.332860642822158</v>
      </c>
      <c r="AR118" s="58">
        <v>5.6817827850129845</v>
      </c>
      <c r="AS118" s="58">
        <v>88.421052631578931</v>
      </c>
      <c r="AT118" s="58">
        <v>77.299996136793112</v>
      </c>
      <c r="AU118" s="58" t="s">
        <v>920</v>
      </c>
      <c r="AV118" s="58">
        <v>1.0492043657942987</v>
      </c>
      <c r="AW118" s="58">
        <v>0.18462298891063098</v>
      </c>
      <c r="AX118" s="58">
        <v>49.459656266763119</v>
      </c>
      <c r="AY118" s="58">
        <v>12.732510035749995</v>
      </c>
      <c r="AZ118" s="58" t="s">
        <v>920</v>
      </c>
      <c r="BA118" s="58">
        <v>36</v>
      </c>
      <c r="BB118" s="58" t="s">
        <v>920</v>
      </c>
      <c r="BC118" s="58">
        <v>0.59300479821965491</v>
      </c>
      <c r="BD118" s="58">
        <v>10.180350030506579</v>
      </c>
      <c r="BE118" s="58" t="s">
        <v>920</v>
      </c>
      <c r="BF118" s="58">
        <v>0</v>
      </c>
      <c r="BG118" s="58">
        <v>67.781896859797385</v>
      </c>
      <c r="BH118" s="58" t="s">
        <v>920</v>
      </c>
      <c r="BI118" s="58" t="s">
        <v>920</v>
      </c>
      <c r="BJ118" s="58">
        <v>10.517330039858662</v>
      </c>
      <c r="BK118" s="58">
        <v>44.759077528236368</v>
      </c>
      <c r="BL118" s="58">
        <v>1.2441750736135802</v>
      </c>
      <c r="BM118" s="58">
        <v>52.70870177211534</v>
      </c>
      <c r="BN118" s="58">
        <v>31.328383421179783</v>
      </c>
      <c r="BO118" s="58" t="s">
        <v>920</v>
      </c>
      <c r="BP118" s="58">
        <v>4.8169319573269744</v>
      </c>
      <c r="BQ118" s="58">
        <v>30.50906188081024</v>
      </c>
      <c r="BR118" s="58">
        <v>79.698956850501318</v>
      </c>
      <c r="BS118" s="58">
        <v>24.570895126111214</v>
      </c>
      <c r="BT118" s="58">
        <v>7.0559553835076256</v>
      </c>
      <c r="BU118" s="58">
        <v>29.281511386957188</v>
      </c>
      <c r="BV118" s="58">
        <v>71.874999999824212</v>
      </c>
      <c r="BW118" s="58">
        <v>22.905720450842974</v>
      </c>
      <c r="BX118" s="58">
        <v>100</v>
      </c>
      <c r="BY118" s="58">
        <v>32.621318954790539</v>
      </c>
      <c r="BZ118" s="58">
        <v>40.58400338552687</v>
      </c>
      <c r="CA118" s="58">
        <v>79.050878041232309</v>
      </c>
      <c r="CB118" s="58">
        <v>14.917924596595544</v>
      </c>
      <c r="CC118" s="58">
        <v>73.989803523942868</v>
      </c>
      <c r="CD118" s="58" t="s">
        <v>920</v>
      </c>
      <c r="CE118" s="58">
        <v>48.578860976131033</v>
      </c>
      <c r="CF118" s="58" t="s">
        <v>920</v>
      </c>
      <c r="CG118" s="58">
        <v>3.583265144814733</v>
      </c>
      <c r="CH118" s="58">
        <v>26.831992850759619</v>
      </c>
      <c r="CI118" s="58">
        <v>66.015625</v>
      </c>
      <c r="CJ118" s="58">
        <v>51.785714285714285</v>
      </c>
      <c r="CK118" s="58">
        <v>43.395122543399182</v>
      </c>
      <c r="CL118" s="58">
        <v>31.111111111111111</v>
      </c>
      <c r="CM118" s="58" t="s">
        <v>920</v>
      </c>
      <c r="CN118" s="58">
        <v>76.363636363636374</v>
      </c>
      <c r="CO118" s="58">
        <v>21.097954790096864</v>
      </c>
      <c r="CP118" s="58">
        <v>36.159742509510075</v>
      </c>
      <c r="CQ118" s="58">
        <v>111</v>
      </c>
      <c r="CR118" s="58">
        <v>119</v>
      </c>
      <c r="CS118" s="58">
        <v>118</v>
      </c>
      <c r="CT118" s="58">
        <v>88</v>
      </c>
      <c r="CU118" s="58">
        <v>33</v>
      </c>
      <c r="CV118" s="58" t="s">
        <v>920</v>
      </c>
      <c r="CW118" s="58">
        <v>109</v>
      </c>
      <c r="CX118" s="58">
        <v>116</v>
      </c>
      <c r="CY118" s="58">
        <v>100</v>
      </c>
      <c r="CZ118" s="58">
        <v>43</v>
      </c>
      <c r="DA118" s="58" t="s">
        <v>920</v>
      </c>
      <c r="DB118" s="58">
        <v>74</v>
      </c>
      <c r="DC118" s="58" t="s">
        <v>920</v>
      </c>
      <c r="DD118" s="58">
        <v>123</v>
      </c>
      <c r="DE118" s="58">
        <v>75</v>
      </c>
      <c r="DF118" s="58" t="s">
        <v>920</v>
      </c>
      <c r="DG118" s="58">
        <v>127</v>
      </c>
      <c r="DH118" s="58">
        <v>73</v>
      </c>
      <c r="DI118" s="58" t="s">
        <v>920</v>
      </c>
      <c r="DJ118" s="58" t="s">
        <v>920</v>
      </c>
      <c r="DK118" s="58">
        <v>46</v>
      </c>
      <c r="DL118" s="58">
        <v>54</v>
      </c>
      <c r="DM118" s="58">
        <v>91</v>
      </c>
      <c r="DN118" s="58">
        <v>88</v>
      </c>
      <c r="DO118" s="58">
        <v>57</v>
      </c>
      <c r="DP118" s="58" t="s">
        <v>920</v>
      </c>
      <c r="DQ118" s="58">
        <v>72</v>
      </c>
      <c r="DR118" s="58">
        <v>114</v>
      </c>
      <c r="DS118" s="58">
        <v>77</v>
      </c>
      <c r="DT118" s="58">
        <v>44</v>
      </c>
      <c r="DU118" s="58">
        <v>102</v>
      </c>
      <c r="DV118" s="58">
        <v>98</v>
      </c>
      <c r="DW118" s="58">
        <v>70</v>
      </c>
      <c r="DX118" s="58">
        <v>98</v>
      </c>
      <c r="DY118" s="58">
        <v>1</v>
      </c>
      <c r="DZ118" s="58">
        <v>110</v>
      </c>
      <c r="EA118" s="58">
        <v>92</v>
      </c>
      <c r="EB118" s="58">
        <v>52</v>
      </c>
      <c r="EC118" s="58">
        <v>101</v>
      </c>
      <c r="ED118" s="58">
        <v>22</v>
      </c>
      <c r="EE118" s="58" t="s">
        <v>920</v>
      </c>
      <c r="EF118" s="58">
        <v>78</v>
      </c>
      <c r="EG118" s="58" t="s">
        <v>920</v>
      </c>
      <c r="EH118" s="58">
        <v>102</v>
      </c>
      <c r="EI118" s="58">
        <v>105</v>
      </c>
      <c r="EJ118" s="58">
        <v>76</v>
      </c>
      <c r="EK118" s="58">
        <v>92</v>
      </c>
      <c r="EL118" s="58">
        <v>108</v>
      </c>
      <c r="EM118" s="58">
        <v>109</v>
      </c>
      <c r="EN118" s="58" t="s">
        <v>920</v>
      </c>
      <c r="EO118" s="58">
        <v>69</v>
      </c>
      <c r="EP118" s="58">
        <v>121</v>
      </c>
      <c r="EQ118" s="58">
        <v>104</v>
      </c>
    </row>
    <row r="119" spans="1:147" x14ac:dyDescent="0.45">
      <c r="A119" t="s">
        <v>122</v>
      </c>
      <c r="B119" s="59" t="s">
        <v>405</v>
      </c>
      <c r="C119" s="37" t="s">
        <v>25</v>
      </c>
      <c r="D119" s="37" t="s">
        <v>882</v>
      </c>
      <c r="E119" s="104">
        <v>4503.4319999999998</v>
      </c>
      <c r="F119" s="104">
        <v>20724000</v>
      </c>
      <c r="G119" s="87">
        <v>33.953938692334319</v>
      </c>
      <c r="H119" s="1" t="s">
        <v>249</v>
      </c>
      <c r="I119" s="58">
        <v>113</v>
      </c>
      <c r="J119" s="87">
        <v>17.705843242948454</v>
      </c>
      <c r="K119" s="87">
        <v>34.785004559748025</v>
      </c>
      <c r="L119" s="87">
        <v>47.499129999801745</v>
      </c>
      <c r="M119" s="87">
        <v>35.825776966839044</v>
      </c>
      <c r="N119" s="58">
        <v>119</v>
      </c>
      <c r="O119" s="58">
        <v>88</v>
      </c>
      <c r="P119" s="58">
        <v>100</v>
      </c>
      <c r="Q119" s="58">
        <v>119</v>
      </c>
      <c r="R119" s="58">
        <v>35.805447563943353</v>
      </c>
      <c r="S119" s="58">
        <v>0.59239404089137349</v>
      </c>
      <c r="T119" s="58">
        <v>16.719688124010638</v>
      </c>
      <c r="U119" s="58">
        <v>42.062736655288411</v>
      </c>
      <c r="V119" s="58">
        <v>25.610405832009061</v>
      </c>
      <c r="W119" s="58">
        <v>36.681871191946612</v>
      </c>
      <c r="X119" s="58">
        <v>41.101929659563204</v>
      </c>
      <c r="Y119" s="58">
        <v>50.917208049210025</v>
      </c>
      <c r="Z119" s="58">
        <v>50.478252290632</v>
      </c>
      <c r="AA119" s="58">
        <v>21.805992516406388</v>
      </c>
      <c r="AB119" s="58">
        <v>41.790510101684411</v>
      </c>
      <c r="AC119" s="58">
        <v>43.880828282426343</v>
      </c>
      <c r="AD119" s="58">
        <v>114</v>
      </c>
      <c r="AE119" s="58">
        <v>124</v>
      </c>
      <c r="AF119" s="58">
        <v>117</v>
      </c>
      <c r="AG119" s="58">
        <v>97</v>
      </c>
      <c r="AH119" s="58">
        <v>84</v>
      </c>
      <c r="AI119" s="58">
        <v>75</v>
      </c>
      <c r="AJ119" s="58">
        <v>99</v>
      </c>
      <c r="AK119" s="58">
        <v>93</v>
      </c>
      <c r="AL119" s="58">
        <v>97</v>
      </c>
      <c r="AM119" s="58">
        <v>109</v>
      </c>
      <c r="AN119" s="58">
        <v>113</v>
      </c>
      <c r="AO119" s="58">
        <v>119</v>
      </c>
      <c r="AP119" s="58">
        <v>42.305166282613598</v>
      </c>
      <c r="AQ119" s="58">
        <v>12.399996398456588</v>
      </c>
      <c r="AR119" s="58">
        <v>13.260049410800843</v>
      </c>
      <c r="AS119" s="58">
        <v>76.31578947368422</v>
      </c>
      <c r="AT119" s="58">
        <v>64.739173804524569</v>
      </c>
      <c r="AU119" s="58">
        <v>5.8125100135803196</v>
      </c>
      <c r="AV119" s="58">
        <v>0.3846037408655601</v>
      </c>
      <c r="AW119" s="58">
        <v>0.13872643692162151</v>
      </c>
      <c r="AX119" s="58" t="s">
        <v>920</v>
      </c>
      <c r="AY119" s="58">
        <v>1.2538519448869387</v>
      </c>
      <c r="AZ119" s="58" t="s">
        <v>920</v>
      </c>
      <c r="BA119" s="58">
        <v>31.25</v>
      </c>
      <c r="BB119" s="58" t="s">
        <v>920</v>
      </c>
      <c r="BC119" s="58">
        <v>2.1893762480212775</v>
      </c>
      <c r="BD119" s="58" t="s">
        <v>920</v>
      </c>
      <c r="BE119" s="58">
        <v>42.11015360395001</v>
      </c>
      <c r="BF119" s="58">
        <v>11.70604636326339</v>
      </c>
      <c r="BG119" s="58">
        <v>72.372009998651848</v>
      </c>
      <c r="BH119" s="58" t="s">
        <v>920</v>
      </c>
      <c r="BI119" s="58">
        <v>55.358774877346775</v>
      </c>
      <c r="BJ119" s="58">
        <v>12.099868721088477</v>
      </c>
      <c r="BK119" s="58">
        <v>34.291290115710602</v>
      </c>
      <c r="BL119" s="58">
        <v>0.69168961389036876</v>
      </c>
      <c r="BM119" s="58">
        <v>39.346254255843895</v>
      </c>
      <c r="BN119" s="58" t="s">
        <v>920</v>
      </c>
      <c r="BO119" s="58">
        <v>34.017488128049337</v>
      </c>
      <c r="BP119" s="58" t="s">
        <v>920</v>
      </c>
      <c r="BQ119" s="58">
        <v>34.323060180095943</v>
      </c>
      <c r="BR119" s="58">
        <v>91.086971740074674</v>
      </c>
      <c r="BS119" s="58">
        <v>30.857950451015022</v>
      </c>
      <c r="BT119" s="58">
        <v>8.1397362670671747</v>
      </c>
      <c r="BU119" s="58">
        <v>29.763618023125542</v>
      </c>
      <c r="BV119" s="58">
        <v>59.374999999683595</v>
      </c>
      <c r="BW119" s="58">
        <v>6.8617731149871188</v>
      </c>
      <c r="BX119" s="58">
        <v>100</v>
      </c>
      <c r="BY119" s="58">
        <v>58.585649108253833</v>
      </c>
      <c r="BZ119" s="58">
        <v>37.685146000846373</v>
      </c>
      <c r="CA119" s="58">
        <v>54.370238639779878</v>
      </c>
      <c r="CB119" s="58">
        <v>39.605294632643087</v>
      </c>
      <c r="CC119" s="58">
        <v>70.252329889258675</v>
      </c>
      <c r="CD119" s="58" t="s">
        <v>920</v>
      </c>
      <c r="CE119" s="58">
        <v>42.086172310200276</v>
      </c>
      <c r="CF119" s="58">
        <v>21.692542222025839</v>
      </c>
      <c r="CG119" s="58">
        <v>1.6392630169930453</v>
      </c>
      <c r="CH119" s="58">
        <v>14.566577301161754</v>
      </c>
      <c r="CI119" s="58">
        <v>81.770833333333343</v>
      </c>
      <c r="CJ119" s="58">
        <v>29.33673469387756</v>
      </c>
      <c r="CK119" s="58">
        <v>28.731504647238697</v>
      </c>
      <c r="CL119" s="58">
        <v>46.666666666666664</v>
      </c>
      <c r="CM119" s="58" t="s">
        <v>920</v>
      </c>
      <c r="CN119" s="58">
        <v>72.727272727272734</v>
      </c>
      <c r="CO119" s="58">
        <v>8.8266953713670659</v>
      </c>
      <c r="CP119" s="58">
        <v>53.510366830611808</v>
      </c>
      <c r="CQ119" s="58">
        <v>109</v>
      </c>
      <c r="CR119" s="58">
        <v>124</v>
      </c>
      <c r="CS119" s="58">
        <v>107</v>
      </c>
      <c r="CT119" s="58">
        <v>97</v>
      </c>
      <c r="CU119" s="58">
        <v>102</v>
      </c>
      <c r="CV119" s="58">
        <v>80</v>
      </c>
      <c r="CW119" s="58">
        <v>115</v>
      </c>
      <c r="CX119" s="58">
        <v>121</v>
      </c>
      <c r="CY119" s="58" t="s">
        <v>920</v>
      </c>
      <c r="CZ119" s="58">
        <v>93</v>
      </c>
      <c r="DA119" s="58" t="s">
        <v>920</v>
      </c>
      <c r="DB119" s="58">
        <v>89</v>
      </c>
      <c r="DC119" s="58" t="s">
        <v>920</v>
      </c>
      <c r="DD119" s="58">
        <v>112</v>
      </c>
      <c r="DE119" s="58" t="s">
        <v>920</v>
      </c>
      <c r="DF119" s="58">
        <v>79</v>
      </c>
      <c r="DG119" s="58">
        <v>113</v>
      </c>
      <c r="DH119" s="58">
        <v>69</v>
      </c>
      <c r="DI119" s="58" t="s">
        <v>920</v>
      </c>
      <c r="DJ119" s="58">
        <v>62</v>
      </c>
      <c r="DK119" s="58">
        <v>43</v>
      </c>
      <c r="DL119" s="58">
        <v>95</v>
      </c>
      <c r="DM119" s="58">
        <v>101</v>
      </c>
      <c r="DN119" s="58">
        <v>104</v>
      </c>
      <c r="DO119" s="58" t="s">
        <v>920</v>
      </c>
      <c r="DP119" s="58">
        <v>72</v>
      </c>
      <c r="DQ119" s="58" t="s">
        <v>920</v>
      </c>
      <c r="DR119" s="58">
        <v>111</v>
      </c>
      <c r="DS119" s="58">
        <v>57</v>
      </c>
      <c r="DT119" s="58">
        <v>40</v>
      </c>
      <c r="DU119" s="58">
        <v>97</v>
      </c>
      <c r="DV119" s="58">
        <v>96</v>
      </c>
      <c r="DW119" s="58">
        <v>83</v>
      </c>
      <c r="DX119" s="58">
        <v>109</v>
      </c>
      <c r="DY119" s="58">
        <v>1</v>
      </c>
      <c r="DZ119" s="58">
        <v>73</v>
      </c>
      <c r="EA119" s="58">
        <v>98</v>
      </c>
      <c r="EB119" s="58">
        <v>89</v>
      </c>
      <c r="EC119" s="58">
        <v>94</v>
      </c>
      <c r="ED119" s="58">
        <v>29</v>
      </c>
      <c r="EE119" s="58" t="s">
        <v>920</v>
      </c>
      <c r="EF119" s="58">
        <v>93</v>
      </c>
      <c r="EG119" s="58">
        <v>95</v>
      </c>
      <c r="EH119" s="58">
        <v>115</v>
      </c>
      <c r="EI119" s="58">
        <v>114</v>
      </c>
      <c r="EJ119" s="58">
        <v>39</v>
      </c>
      <c r="EK119" s="58">
        <v>108</v>
      </c>
      <c r="EL119" s="58">
        <v>121</v>
      </c>
      <c r="EM119" s="58">
        <v>99</v>
      </c>
      <c r="EN119" s="58" t="s">
        <v>920</v>
      </c>
      <c r="EO119" s="58">
        <v>78</v>
      </c>
      <c r="EP119" s="58">
        <v>124</v>
      </c>
      <c r="EQ119" s="58">
        <v>77</v>
      </c>
    </row>
    <row r="120" spans="1:147" x14ac:dyDescent="0.45">
      <c r="A120" t="s">
        <v>121</v>
      </c>
      <c r="B120" s="59" t="s">
        <v>408</v>
      </c>
      <c r="C120" s="37" t="s">
        <v>25</v>
      </c>
      <c r="D120" s="37" t="s">
        <v>882</v>
      </c>
      <c r="E120" s="104">
        <v>12341.505999999999</v>
      </c>
      <c r="F120" s="104">
        <v>2963000</v>
      </c>
      <c r="G120" s="87">
        <v>33.467395294588783</v>
      </c>
      <c r="H120" s="1" t="s">
        <v>247</v>
      </c>
      <c r="I120" s="58">
        <v>114</v>
      </c>
      <c r="J120" s="87">
        <v>27.415785036857233</v>
      </c>
      <c r="K120" s="87">
        <v>27.927496326351616</v>
      </c>
      <c r="L120" s="87">
        <v>39.606709444551988</v>
      </c>
      <c r="M120" s="87">
        <v>38.9195903705943</v>
      </c>
      <c r="N120" s="58">
        <v>109</v>
      </c>
      <c r="O120" s="58">
        <v>106</v>
      </c>
      <c r="P120" s="58">
        <v>108</v>
      </c>
      <c r="Q120" s="58">
        <v>112</v>
      </c>
      <c r="R120" s="58">
        <v>41.619996569199671</v>
      </c>
      <c r="S120" s="58">
        <v>18.522241595931639</v>
      </c>
      <c r="T120" s="58">
        <v>22.1051169454404</v>
      </c>
      <c r="U120" s="58">
        <v>32.394389918860909</v>
      </c>
      <c r="V120" s="58">
        <v>30.758378571280218</v>
      </c>
      <c r="W120" s="58">
        <v>20.629720488913719</v>
      </c>
      <c r="X120" s="58">
        <v>36.958619758937424</v>
      </c>
      <c r="Y120" s="58">
        <v>30.814950086755221</v>
      </c>
      <c r="Z120" s="58">
        <v>51.046558487963317</v>
      </c>
      <c r="AA120" s="58">
        <v>19.49956604056452</v>
      </c>
      <c r="AB120" s="58">
        <v>32.546318858296331</v>
      </c>
      <c r="AC120" s="58">
        <v>64.712886212922058</v>
      </c>
      <c r="AD120" s="58">
        <v>110</v>
      </c>
      <c r="AE120" s="58">
        <v>86</v>
      </c>
      <c r="AF120" s="58">
        <v>105</v>
      </c>
      <c r="AG120" s="58">
        <v>109</v>
      </c>
      <c r="AH120" s="58">
        <v>62</v>
      </c>
      <c r="AI120" s="58">
        <v>113</v>
      </c>
      <c r="AJ120" s="58">
        <v>106</v>
      </c>
      <c r="AK120" s="58">
        <v>124</v>
      </c>
      <c r="AL120" s="58">
        <v>92</v>
      </c>
      <c r="AM120" s="58">
        <v>112</v>
      </c>
      <c r="AN120" s="58">
        <v>121</v>
      </c>
      <c r="AO120" s="58">
        <v>63</v>
      </c>
      <c r="AP120" s="58">
        <v>45.256910057860601</v>
      </c>
      <c r="AQ120" s="58">
        <v>45.454567642961571</v>
      </c>
      <c r="AR120" s="58">
        <v>11.564562448911362</v>
      </c>
      <c r="AS120" s="58">
        <v>42.105263157894733</v>
      </c>
      <c r="AT120" s="58">
        <v>63.718679538370097</v>
      </c>
      <c r="AU120" s="58" t="s">
        <v>920</v>
      </c>
      <c r="AV120" s="58">
        <v>1.7967013671014493</v>
      </c>
      <c r="AW120" s="58">
        <v>4.160514997369881</v>
      </c>
      <c r="AX120" s="58">
        <v>67.158002470549675</v>
      </c>
      <c r="AY120" s="58">
        <v>0.97374754870554447</v>
      </c>
      <c r="AZ120" s="58" t="s">
        <v>920</v>
      </c>
      <c r="BA120" s="58">
        <v>34.75</v>
      </c>
      <c r="BB120" s="58" t="s">
        <v>920</v>
      </c>
      <c r="BC120" s="58">
        <v>9.460233890880799</v>
      </c>
      <c r="BD120" s="58">
        <v>2.1399474467890824</v>
      </c>
      <c r="BE120" s="58">
        <v>24.840133511598097</v>
      </c>
      <c r="BF120" s="58">
        <v>21.059017178594917</v>
      </c>
      <c r="BG120" s="58">
        <v>81.538461538461533</v>
      </c>
      <c r="BH120" s="58" t="s">
        <v>920</v>
      </c>
      <c r="BI120" s="58">
        <v>61.610792573967053</v>
      </c>
      <c r="BJ120" s="58" t="s">
        <v>920</v>
      </c>
      <c r="BK120" s="58">
        <v>30.382513892150172</v>
      </c>
      <c r="BL120" s="58">
        <v>0.28182924772343609</v>
      </c>
      <c r="BM120" s="58">
        <v>39.796200719433116</v>
      </c>
      <c r="BN120" s="58">
        <v>12.586692555628339</v>
      </c>
      <c r="BO120" s="58">
        <v>20.026485026447471</v>
      </c>
      <c r="BP120" s="58">
        <v>10.109503654145954</v>
      </c>
      <c r="BQ120" s="58">
        <v>48.609080123146178</v>
      </c>
      <c r="BR120" s="58">
        <v>24.215347775805903</v>
      </c>
      <c r="BS120" s="58">
        <v>63.018081325632537</v>
      </c>
      <c r="BT120" s="58">
        <v>11.991969811165088</v>
      </c>
      <c r="BU120" s="58">
        <v>40.670329036160766</v>
      </c>
      <c r="BV120" s="58">
        <v>41.249999999695305</v>
      </c>
      <c r="BW120" s="58">
        <v>31.922152629774033</v>
      </c>
      <c r="BX120" s="58">
        <v>0</v>
      </c>
      <c r="BY120" s="58">
        <v>40.232268768145993</v>
      </c>
      <c r="BZ120" s="58">
        <v>23.190859077443925</v>
      </c>
      <c r="CA120" s="58">
        <v>59.040507176564269</v>
      </c>
      <c r="CB120" s="58" t="s">
        <v>920</v>
      </c>
      <c r="CC120" s="58">
        <v>70.908309209881736</v>
      </c>
      <c r="CD120" s="58" t="s">
        <v>920</v>
      </c>
      <c r="CE120" s="58">
        <v>32.406120079793418</v>
      </c>
      <c r="CF120" s="58">
        <v>23.872527514147656</v>
      </c>
      <c r="CG120" s="58">
        <v>2.2200505277524867</v>
      </c>
      <c r="CH120" s="58">
        <v>36.885612153708664</v>
      </c>
      <c r="CI120" s="58">
        <v>41.666666666666657</v>
      </c>
      <c r="CJ120" s="58">
        <v>9.9489795918367463</v>
      </c>
      <c r="CK120" s="58">
        <v>28.224375917190592</v>
      </c>
      <c r="CL120" s="58">
        <v>62.222222222222221</v>
      </c>
      <c r="CM120" s="58" t="s">
        <v>920</v>
      </c>
      <c r="CN120" s="58">
        <v>70.909090909090907</v>
      </c>
      <c r="CO120" s="58">
        <v>78.148546824542507</v>
      </c>
      <c r="CP120" s="58">
        <v>27.939819588043321</v>
      </c>
      <c r="CQ120" s="58">
        <v>105</v>
      </c>
      <c r="CR120" s="58">
        <v>89</v>
      </c>
      <c r="CS120" s="58">
        <v>110</v>
      </c>
      <c r="CT120" s="58">
        <v>114</v>
      </c>
      <c r="CU120" s="58">
        <v>104</v>
      </c>
      <c r="CV120" s="58" t="s">
        <v>920</v>
      </c>
      <c r="CW120" s="58">
        <v>105</v>
      </c>
      <c r="CX120" s="58">
        <v>63</v>
      </c>
      <c r="CY120" s="58">
        <v>54</v>
      </c>
      <c r="CZ120" s="58">
        <v>98</v>
      </c>
      <c r="DA120" s="58" t="s">
        <v>920</v>
      </c>
      <c r="DB120" s="58">
        <v>80</v>
      </c>
      <c r="DC120" s="58" t="s">
        <v>920</v>
      </c>
      <c r="DD120" s="58">
        <v>83</v>
      </c>
      <c r="DE120" s="58">
        <v>113</v>
      </c>
      <c r="DF120" s="58">
        <v>106</v>
      </c>
      <c r="DG120" s="58">
        <v>105</v>
      </c>
      <c r="DH120" s="58">
        <v>63</v>
      </c>
      <c r="DI120" s="58" t="s">
        <v>920</v>
      </c>
      <c r="DJ120" s="58">
        <v>50</v>
      </c>
      <c r="DK120" s="58" t="s">
        <v>920</v>
      </c>
      <c r="DL120" s="58">
        <v>107</v>
      </c>
      <c r="DM120" s="58">
        <v>114</v>
      </c>
      <c r="DN120" s="58">
        <v>103</v>
      </c>
      <c r="DO120" s="58">
        <v>83</v>
      </c>
      <c r="DP120" s="58">
        <v>94</v>
      </c>
      <c r="DQ120" s="58">
        <v>54</v>
      </c>
      <c r="DR120" s="58">
        <v>90</v>
      </c>
      <c r="DS120" s="58">
        <v>118</v>
      </c>
      <c r="DT120" s="58">
        <v>13</v>
      </c>
      <c r="DU120" s="58">
        <v>88</v>
      </c>
      <c r="DV120" s="58">
        <v>72</v>
      </c>
      <c r="DW120" s="58">
        <v>110</v>
      </c>
      <c r="DX120" s="58">
        <v>85</v>
      </c>
      <c r="DY120" s="58">
        <v>125</v>
      </c>
      <c r="DZ120" s="58">
        <v>100</v>
      </c>
      <c r="EA120" s="58">
        <v>112</v>
      </c>
      <c r="EB120" s="58">
        <v>81</v>
      </c>
      <c r="EC120" s="58" t="s">
        <v>920</v>
      </c>
      <c r="ED120" s="58">
        <v>28</v>
      </c>
      <c r="EE120" s="58" t="s">
        <v>920</v>
      </c>
      <c r="EF120" s="58">
        <v>121</v>
      </c>
      <c r="EG120" s="58">
        <v>87</v>
      </c>
      <c r="EH120" s="58">
        <v>111</v>
      </c>
      <c r="EI120" s="58">
        <v>94</v>
      </c>
      <c r="EJ120" s="58">
        <v>113</v>
      </c>
      <c r="EK120" s="58">
        <v>112</v>
      </c>
      <c r="EL120" s="58">
        <v>122</v>
      </c>
      <c r="EM120" s="58">
        <v>94</v>
      </c>
      <c r="EN120" s="58" t="s">
        <v>920</v>
      </c>
      <c r="EO120" s="58">
        <v>84</v>
      </c>
      <c r="EP120" s="58">
        <v>55</v>
      </c>
      <c r="EQ120" s="58">
        <v>113</v>
      </c>
    </row>
    <row r="121" spans="1:147" x14ac:dyDescent="0.45">
      <c r="A121" t="s">
        <v>123</v>
      </c>
      <c r="B121" s="59" t="s">
        <v>406</v>
      </c>
      <c r="C121" s="37" t="s">
        <v>25</v>
      </c>
      <c r="D121" s="37" t="s">
        <v>882</v>
      </c>
      <c r="E121" s="104">
        <v>5791.0879999999997</v>
      </c>
      <c r="F121" s="104">
        <v>28373000</v>
      </c>
      <c r="G121" s="87">
        <v>32.191250779160576</v>
      </c>
      <c r="H121" s="1" t="s">
        <v>250</v>
      </c>
      <c r="I121" s="58">
        <v>115</v>
      </c>
      <c r="J121" s="87">
        <v>27.490695577702052</v>
      </c>
      <c r="K121" s="87">
        <v>26.694905763801046</v>
      </c>
      <c r="L121" s="87">
        <v>35.857547312493615</v>
      </c>
      <c r="M121" s="87">
        <v>38.721854462645588</v>
      </c>
      <c r="N121" s="58">
        <v>108</v>
      </c>
      <c r="O121" s="58">
        <v>113</v>
      </c>
      <c r="P121" s="58">
        <v>115</v>
      </c>
      <c r="Q121" s="58">
        <v>116</v>
      </c>
      <c r="R121" s="58">
        <v>33.780254356981139</v>
      </c>
      <c r="S121" s="58">
        <v>15.617774622556402</v>
      </c>
      <c r="T121" s="58">
        <v>33.074057753568617</v>
      </c>
      <c r="U121" s="58">
        <v>29.372851087010154</v>
      </c>
      <c r="V121" s="58">
        <v>21.0752980246133</v>
      </c>
      <c r="W121" s="58">
        <v>29.636568179779687</v>
      </c>
      <c r="X121" s="58">
        <v>30.425197386751474</v>
      </c>
      <c r="Y121" s="58">
        <v>48.099632741532147</v>
      </c>
      <c r="Z121" s="58">
        <v>29.047811809197221</v>
      </c>
      <c r="AA121" s="58">
        <v>27.067372061252811</v>
      </c>
      <c r="AB121" s="58">
        <v>44.486634768373484</v>
      </c>
      <c r="AC121" s="58">
        <v>44.611556558310461</v>
      </c>
      <c r="AD121" s="58">
        <v>115</v>
      </c>
      <c r="AE121" s="58">
        <v>98</v>
      </c>
      <c r="AF121" s="58">
        <v>71</v>
      </c>
      <c r="AG121" s="58">
        <v>115</v>
      </c>
      <c r="AH121" s="58">
        <v>105</v>
      </c>
      <c r="AI121" s="58">
        <v>91</v>
      </c>
      <c r="AJ121" s="58">
        <v>113</v>
      </c>
      <c r="AK121" s="58">
        <v>104</v>
      </c>
      <c r="AL121" s="58">
        <v>116</v>
      </c>
      <c r="AM121" s="58">
        <v>88</v>
      </c>
      <c r="AN121" s="58">
        <v>110</v>
      </c>
      <c r="AO121" s="58">
        <v>116</v>
      </c>
      <c r="AP121" s="58">
        <v>41.721868734898003</v>
      </c>
      <c r="AQ121" s="58">
        <v>35.421825401625412</v>
      </c>
      <c r="AR121" s="58">
        <v>25.14218520139806</v>
      </c>
      <c r="AS121" s="58">
        <v>0</v>
      </c>
      <c r="AT121" s="58">
        <v>66.615392446984217</v>
      </c>
      <c r="AU121" s="58" t="s">
        <v>920</v>
      </c>
      <c r="AV121" s="58">
        <v>1.1293140461157694</v>
      </c>
      <c r="AW121" s="58">
        <v>0.45406844184304662</v>
      </c>
      <c r="AX121" s="58">
        <v>54.120141673496981</v>
      </c>
      <c r="AY121" s="58">
        <v>6.7675743287698138</v>
      </c>
      <c r="AZ121" s="58">
        <v>52.025062950705767</v>
      </c>
      <c r="BA121" s="58">
        <v>33.25</v>
      </c>
      <c r="BB121" s="58" t="s">
        <v>920</v>
      </c>
      <c r="BC121" s="58">
        <v>13.947110310000072</v>
      </c>
      <c r="BD121" s="58">
        <v>0.71081177640240401</v>
      </c>
      <c r="BE121" s="58">
        <v>46.280478406564882</v>
      </c>
      <c r="BF121" s="58">
        <v>12.735303749658723</v>
      </c>
      <c r="BG121" s="58">
        <v>57.764810415414615</v>
      </c>
      <c r="BH121" s="58" t="s">
        <v>920</v>
      </c>
      <c r="BI121" s="58">
        <v>37.512106179721634</v>
      </c>
      <c r="BJ121" s="58">
        <v>7.2078029744968255</v>
      </c>
      <c r="BK121" s="58">
        <v>38.324045684319017</v>
      </c>
      <c r="BL121" s="58">
        <v>1.2572372599157224</v>
      </c>
      <c r="BM121" s="58">
        <v>27.677722837790693</v>
      </c>
      <c r="BN121" s="58">
        <v>15.63718257970973</v>
      </c>
      <c r="BO121" s="58">
        <v>45.594799121838633</v>
      </c>
      <c r="BP121" s="58" t="s">
        <v>920</v>
      </c>
      <c r="BQ121" s="58">
        <v>22.108656691091532</v>
      </c>
      <c r="BR121" s="58">
        <v>58.589273243671968</v>
      </c>
      <c r="BS121" s="58" t="s">
        <v>920</v>
      </c>
      <c r="BT121" s="58">
        <v>10.577662225490927</v>
      </c>
      <c r="BU121" s="58">
        <v>19.369067935125038</v>
      </c>
      <c r="BV121" s="58">
        <v>54.374999999777337</v>
      </c>
      <c r="BW121" s="58">
        <v>24.199139323152384</v>
      </c>
      <c r="BX121" s="58">
        <v>100</v>
      </c>
      <c r="BY121" s="58">
        <v>42.554956449605974</v>
      </c>
      <c r="BZ121" s="58">
        <v>39.134574693186622</v>
      </c>
      <c r="CA121" s="58">
        <v>47.47346069831557</v>
      </c>
      <c r="CB121" s="58">
        <v>11.921679915217327</v>
      </c>
      <c r="CC121" s="58">
        <v>17.661531930069366</v>
      </c>
      <c r="CD121" s="58" t="s">
        <v>920</v>
      </c>
      <c r="CE121" s="58">
        <v>48.141515262347035</v>
      </c>
      <c r="CF121" s="58">
        <v>21.785650034560355</v>
      </c>
      <c r="CG121" s="58">
        <v>11.274950886851046</v>
      </c>
      <c r="CH121" s="58">
        <v>36.349419124218045</v>
      </c>
      <c r="CI121" s="58">
        <v>54.427083333333336</v>
      </c>
      <c r="CJ121" s="58">
        <v>53.061224489795919</v>
      </c>
      <c r="CK121" s="58">
        <v>32.305579205342269</v>
      </c>
      <c r="CL121" s="58">
        <v>20</v>
      </c>
      <c r="CM121" s="58" t="s">
        <v>920</v>
      </c>
      <c r="CN121" s="58">
        <v>41.818181818181813</v>
      </c>
      <c r="CO121" s="58">
        <v>73.735199138858988</v>
      </c>
      <c r="CP121" s="58">
        <v>16.562577435781151</v>
      </c>
      <c r="CQ121" s="58">
        <v>110</v>
      </c>
      <c r="CR121" s="58">
        <v>106</v>
      </c>
      <c r="CS121" s="58">
        <v>82</v>
      </c>
      <c r="CT121" s="58">
        <v>121</v>
      </c>
      <c r="CU121" s="58">
        <v>94</v>
      </c>
      <c r="CV121" s="58" t="s">
        <v>920</v>
      </c>
      <c r="CW121" s="58">
        <v>107</v>
      </c>
      <c r="CX121" s="58">
        <v>107</v>
      </c>
      <c r="CY121" s="58">
        <v>93</v>
      </c>
      <c r="CZ121" s="58">
        <v>57</v>
      </c>
      <c r="DA121" s="58">
        <v>76</v>
      </c>
      <c r="DB121" s="58">
        <v>86</v>
      </c>
      <c r="DC121" s="58" t="s">
        <v>920</v>
      </c>
      <c r="DD121" s="58">
        <v>73</v>
      </c>
      <c r="DE121" s="58">
        <v>118</v>
      </c>
      <c r="DF121" s="58">
        <v>72</v>
      </c>
      <c r="DG121" s="58">
        <v>112</v>
      </c>
      <c r="DH121" s="58">
        <v>80</v>
      </c>
      <c r="DI121" s="58" t="s">
        <v>920</v>
      </c>
      <c r="DJ121" s="58">
        <v>86</v>
      </c>
      <c r="DK121" s="58">
        <v>58</v>
      </c>
      <c r="DL121" s="58">
        <v>74</v>
      </c>
      <c r="DM121" s="58">
        <v>89</v>
      </c>
      <c r="DN121" s="58">
        <v>114</v>
      </c>
      <c r="DO121" s="58">
        <v>80</v>
      </c>
      <c r="DP121" s="58">
        <v>43</v>
      </c>
      <c r="DQ121" s="58" t="s">
        <v>920</v>
      </c>
      <c r="DR121" s="58">
        <v>122</v>
      </c>
      <c r="DS121" s="58">
        <v>101</v>
      </c>
      <c r="DT121" s="58" t="s">
        <v>920</v>
      </c>
      <c r="DU121" s="58">
        <v>89</v>
      </c>
      <c r="DV121" s="58">
        <v>116</v>
      </c>
      <c r="DW121" s="58">
        <v>89</v>
      </c>
      <c r="DX121" s="58">
        <v>95</v>
      </c>
      <c r="DY121" s="58">
        <v>1</v>
      </c>
      <c r="DZ121" s="58">
        <v>97</v>
      </c>
      <c r="EA121" s="58">
        <v>95</v>
      </c>
      <c r="EB121" s="58">
        <v>98</v>
      </c>
      <c r="EC121" s="58">
        <v>102</v>
      </c>
      <c r="ED121" s="58">
        <v>74</v>
      </c>
      <c r="EE121" s="58" t="s">
        <v>920</v>
      </c>
      <c r="EF121" s="58">
        <v>80</v>
      </c>
      <c r="EG121" s="58">
        <v>94</v>
      </c>
      <c r="EH121" s="58">
        <v>69</v>
      </c>
      <c r="EI121" s="58">
        <v>95</v>
      </c>
      <c r="EJ121" s="58">
        <v>100</v>
      </c>
      <c r="EK121" s="58">
        <v>89</v>
      </c>
      <c r="EL121" s="58">
        <v>117</v>
      </c>
      <c r="EM121" s="58">
        <v>114</v>
      </c>
      <c r="EN121" s="58" t="s">
        <v>920</v>
      </c>
      <c r="EO121" s="58">
        <v>117</v>
      </c>
      <c r="EP121" s="58">
        <v>73</v>
      </c>
      <c r="EQ121" s="58">
        <v>120</v>
      </c>
    </row>
    <row r="122" spans="1:147" x14ac:dyDescent="0.45">
      <c r="A122" t="s">
        <v>128</v>
      </c>
      <c r="B122" s="59" t="s">
        <v>410</v>
      </c>
      <c r="C122" s="37" t="s">
        <v>25</v>
      </c>
      <c r="D122" s="37" t="s">
        <v>883</v>
      </c>
      <c r="E122" s="104">
        <v>1757.703</v>
      </c>
      <c r="F122" s="104">
        <v>21104000</v>
      </c>
      <c r="G122" s="87">
        <v>31.482125206151458</v>
      </c>
      <c r="H122" s="1" t="s">
        <v>255</v>
      </c>
      <c r="I122" s="58">
        <v>116</v>
      </c>
      <c r="J122" s="87">
        <v>16.545843387126197</v>
      </c>
      <c r="K122" s="87">
        <v>25.231433842341861</v>
      </c>
      <c r="L122" s="87">
        <v>42.869874405156729</v>
      </c>
      <c r="M122" s="87">
        <v>41.281349189981064</v>
      </c>
      <c r="N122" s="58">
        <v>122</v>
      </c>
      <c r="O122" s="58">
        <v>115</v>
      </c>
      <c r="P122" s="58">
        <v>104</v>
      </c>
      <c r="Q122" s="58">
        <v>106</v>
      </c>
      <c r="R122" s="58">
        <v>29.256232553521244</v>
      </c>
      <c r="S122" s="58">
        <v>0.79635749845056758</v>
      </c>
      <c r="T122" s="58">
        <v>19.58494010940678</v>
      </c>
      <c r="U122" s="58">
        <v>27.654809423718611</v>
      </c>
      <c r="V122" s="58">
        <v>21.586849192723832</v>
      </c>
      <c r="W122" s="58">
        <v>26.452642910583148</v>
      </c>
      <c r="X122" s="58">
        <v>34.434682312857291</v>
      </c>
      <c r="Y122" s="58">
        <v>43.48480563382887</v>
      </c>
      <c r="Z122" s="58">
        <v>50.690135268784026</v>
      </c>
      <c r="AA122" s="58">
        <v>35.373475440839279</v>
      </c>
      <c r="AB122" s="58">
        <v>34.974136630086782</v>
      </c>
      <c r="AC122" s="58">
        <v>53.496435499017139</v>
      </c>
      <c r="AD122" s="58">
        <v>121</v>
      </c>
      <c r="AE122" s="58">
        <v>123</v>
      </c>
      <c r="AF122" s="58">
        <v>110</v>
      </c>
      <c r="AG122" s="58">
        <v>116</v>
      </c>
      <c r="AH122" s="58">
        <v>100</v>
      </c>
      <c r="AI122" s="58">
        <v>100</v>
      </c>
      <c r="AJ122" s="58">
        <v>110</v>
      </c>
      <c r="AK122" s="58">
        <v>109</v>
      </c>
      <c r="AL122" s="58">
        <v>94</v>
      </c>
      <c r="AM122" s="58">
        <v>53</v>
      </c>
      <c r="AN122" s="58">
        <v>118</v>
      </c>
      <c r="AO122" s="58">
        <v>96</v>
      </c>
      <c r="AP122" s="58">
        <v>16.144566205566701</v>
      </c>
      <c r="AQ122" s="58">
        <v>20.235167841987984</v>
      </c>
      <c r="AR122" s="58">
        <v>5.6670629725796182</v>
      </c>
      <c r="AS122" s="58">
        <v>44.15789473684211</v>
      </c>
      <c r="AT122" s="58">
        <v>60.076471010629795</v>
      </c>
      <c r="AU122" s="58" t="s">
        <v>920</v>
      </c>
      <c r="AV122" s="58">
        <v>0.30663862093489552</v>
      </c>
      <c r="AW122" s="58">
        <v>8.9362315333214648E-2</v>
      </c>
      <c r="AX122" s="58" t="s">
        <v>920</v>
      </c>
      <c r="AY122" s="58">
        <v>1.9930715590835928</v>
      </c>
      <c r="AZ122" s="58">
        <v>35.670072734090922</v>
      </c>
      <c r="BA122" s="58">
        <v>19.75</v>
      </c>
      <c r="BB122" s="58" t="s">
        <v>920</v>
      </c>
      <c r="BC122" s="58">
        <v>3.3347475941294178</v>
      </c>
      <c r="BD122" s="58">
        <v>4.1780784444023036</v>
      </c>
      <c r="BE122" s="58">
        <v>50.970961969331796</v>
      </c>
      <c r="BF122" s="58">
        <v>1.3897858102871161</v>
      </c>
      <c r="BG122" s="58">
        <v>54.080411470853228</v>
      </c>
      <c r="BH122" s="58" t="s">
        <v>920</v>
      </c>
      <c r="BI122" s="58">
        <v>39.330874964192979</v>
      </c>
      <c r="BJ122" s="58" t="s">
        <v>920</v>
      </c>
      <c r="BK122" s="58">
        <v>25.137993087280709</v>
      </c>
      <c r="BL122" s="58">
        <v>0.29167952669780522</v>
      </c>
      <c r="BM122" s="58">
        <v>35.331624980450187</v>
      </c>
      <c r="BN122" s="58">
        <v>4.9854221854283987</v>
      </c>
      <c r="BO122" s="58">
        <v>39.040881565870862</v>
      </c>
      <c r="BP122" s="58" t="s">
        <v>920</v>
      </c>
      <c r="BQ122" s="58">
        <v>25.204985146578984</v>
      </c>
      <c r="BR122" s="58">
        <v>76.476008184933775</v>
      </c>
      <c r="BS122" s="58" t="s">
        <v>920</v>
      </c>
      <c r="BT122" s="58">
        <v>1.6230536070591182</v>
      </c>
      <c r="BU122" s="58">
        <v>22.901603040586874</v>
      </c>
      <c r="BV122" s="58">
        <v>76.562499999853515</v>
      </c>
      <c r="BW122" s="58">
        <v>4.1067521714248336</v>
      </c>
      <c r="BX122" s="58">
        <v>50</v>
      </c>
      <c r="BY122" s="58">
        <v>63.853172957279135</v>
      </c>
      <c r="BZ122" s="58">
        <v>42.033432077867118</v>
      </c>
      <c r="CA122" s="58">
        <v>47.234688629860273</v>
      </c>
      <c r="CB122" s="58">
        <v>40.980134025084659</v>
      </c>
      <c r="CC122" s="58">
        <v>72.512286342324046</v>
      </c>
      <c r="CD122" s="58" t="s">
        <v>920</v>
      </c>
      <c r="CE122" s="58">
        <v>33.861331848289836</v>
      </c>
      <c r="CF122" s="58">
        <v>28.979254316888497</v>
      </c>
      <c r="CG122" s="58">
        <v>43.279840157339493</v>
      </c>
      <c r="CH122" s="58">
        <v>0</v>
      </c>
      <c r="CI122" s="58">
        <v>56.380208333333336</v>
      </c>
      <c r="CJ122" s="58">
        <v>62.500000000000007</v>
      </c>
      <c r="CK122" s="58">
        <v>34.584403113854002</v>
      </c>
      <c r="CL122" s="58">
        <v>28.888888888888886</v>
      </c>
      <c r="CM122" s="58" t="s">
        <v>920</v>
      </c>
      <c r="CN122" s="58">
        <v>70.909090909090907</v>
      </c>
      <c r="CO122" s="58">
        <v>55.758880516684599</v>
      </c>
      <c r="CP122" s="58">
        <v>38.753781253662957</v>
      </c>
      <c r="CQ122" s="58">
        <v>124</v>
      </c>
      <c r="CR122" s="58">
        <v>123</v>
      </c>
      <c r="CS122" s="58">
        <v>119</v>
      </c>
      <c r="CT122" s="58">
        <v>113</v>
      </c>
      <c r="CU122" s="58">
        <v>116</v>
      </c>
      <c r="CV122" s="58" t="s">
        <v>920</v>
      </c>
      <c r="CW122" s="58">
        <v>119</v>
      </c>
      <c r="CX122" s="58">
        <v>123</v>
      </c>
      <c r="CY122" s="58" t="s">
        <v>920</v>
      </c>
      <c r="CZ122" s="58">
        <v>82</v>
      </c>
      <c r="DA122" s="58">
        <v>97</v>
      </c>
      <c r="DB122" s="58">
        <v>115</v>
      </c>
      <c r="DC122" s="58" t="s">
        <v>920</v>
      </c>
      <c r="DD122" s="58">
        <v>106</v>
      </c>
      <c r="DE122" s="58">
        <v>100</v>
      </c>
      <c r="DF122" s="58">
        <v>64</v>
      </c>
      <c r="DG122" s="58">
        <v>125</v>
      </c>
      <c r="DH122" s="58">
        <v>84</v>
      </c>
      <c r="DI122" s="58" t="s">
        <v>920</v>
      </c>
      <c r="DJ122" s="58">
        <v>81</v>
      </c>
      <c r="DK122" s="58" t="s">
        <v>920</v>
      </c>
      <c r="DL122" s="58">
        <v>113</v>
      </c>
      <c r="DM122" s="58">
        <v>113</v>
      </c>
      <c r="DN122" s="58">
        <v>107</v>
      </c>
      <c r="DO122" s="58">
        <v>91</v>
      </c>
      <c r="DP122" s="58">
        <v>58</v>
      </c>
      <c r="DQ122" s="58" t="s">
        <v>920</v>
      </c>
      <c r="DR122" s="58">
        <v>120</v>
      </c>
      <c r="DS122" s="58">
        <v>82</v>
      </c>
      <c r="DT122" s="58" t="s">
        <v>920</v>
      </c>
      <c r="DU122" s="58">
        <v>114</v>
      </c>
      <c r="DV122" s="58">
        <v>112</v>
      </c>
      <c r="DW122" s="58">
        <v>54</v>
      </c>
      <c r="DX122" s="58">
        <v>111</v>
      </c>
      <c r="DY122" s="58">
        <v>107</v>
      </c>
      <c r="DZ122" s="58">
        <v>60</v>
      </c>
      <c r="EA122" s="58">
        <v>90</v>
      </c>
      <c r="EB122" s="58">
        <v>99</v>
      </c>
      <c r="EC122" s="58">
        <v>92</v>
      </c>
      <c r="ED122" s="58">
        <v>26</v>
      </c>
      <c r="EE122" s="58" t="s">
        <v>920</v>
      </c>
      <c r="EF122" s="58">
        <v>119</v>
      </c>
      <c r="EG122" s="58">
        <v>78</v>
      </c>
      <c r="EH122" s="58">
        <v>17</v>
      </c>
      <c r="EI122" s="58">
        <v>126</v>
      </c>
      <c r="EJ122" s="58">
        <v>96</v>
      </c>
      <c r="EK122" s="58">
        <v>75</v>
      </c>
      <c r="EL122" s="58">
        <v>115</v>
      </c>
      <c r="EM122" s="58">
        <v>111</v>
      </c>
      <c r="EN122" s="58" t="s">
        <v>920</v>
      </c>
      <c r="EO122" s="58">
        <v>84</v>
      </c>
      <c r="EP122" s="58">
        <v>104</v>
      </c>
      <c r="EQ122" s="58">
        <v>98</v>
      </c>
    </row>
    <row r="123" spans="1:147" x14ac:dyDescent="0.45">
      <c r="A123" t="s">
        <v>597</v>
      </c>
      <c r="B123" s="59" t="s">
        <v>600</v>
      </c>
      <c r="C123" s="37" t="s">
        <v>37</v>
      </c>
      <c r="D123" s="37" t="s">
        <v>882</v>
      </c>
      <c r="E123" s="104">
        <v>9081.7540000000008</v>
      </c>
      <c r="F123" s="104">
        <v>6824000</v>
      </c>
      <c r="G123" s="87">
        <v>31.14744518936925</v>
      </c>
      <c r="H123" s="1" t="s">
        <v>604</v>
      </c>
      <c r="I123" s="58">
        <v>117</v>
      </c>
      <c r="J123" s="87">
        <v>15.120479805178357</v>
      </c>
      <c r="K123" s="87">
        <v>27.084845791266503</v>
      </c>
      <c r="L123" s="87">
        <v>23.899494559347115</v>
      </c>
      <c r="M123" s="87">
        <v>58.484960601685032</v>
      </c>
      <c r="N123" s="58">
        <v>123</v>
      </c>
      <c r="O123" s="58">
        <v>111</v>
      </c>
      <c r="P123" s="58">
        <v>125</v>
      </c>
      <c r="Q123" s="58">
        <v>44</v>
      </c>
      <c r="R123" s="58">
        <v>30.969901682423373</v>
      </c>
      <c r="S123" s="58">
        <v>6.0561922490824305</v>
      </c>
      <c r="T123" s="58">
        <v>8.3353454840292702</v>
      </c>
      <c r="U123" s="58">
        <v>46.253424696491095</v>
      </c>
      <c r="V123" s="58">
        <v>17.325489034358359</v>
      </c>
      <c r="W123" s="58">
        <v>17.675623642950054</v>
      </c>
      <c r="X123" s="58">
        <v>14.963337402650808</v>
      </c>
      <c r="Y123" s="58">
        <v>30.49494714986788</v>
      </c>
      <c r="Z123" s="58">
        <v>26.240199125522647</v>
      </c>
      <c r="AA123" s="58">
        <v>30.215925700187217</v>
      </c>
      <c r="AB123" s="58">
        <v>70.476444860564683</v>
      </c>
      <c r="AC123" s="58">
        <v>74.762511244303212</v>
      </c>
      <c r="AD123" s="58">
        <v>118</v>
      </c>
      <c r="AE123" s="58">
        <v>119</v>
      </c>
      <c r="AF123" s="58">
        <v>127</v>
      </c>
      <c r="AG123" s="58">
        <v>84</v>
      </c>
      <c r="AH123" s="58">
        <v>117</v>
      </c>
      <c r="AI123" s="58">
        <v>117</v>
      </c>
      <c r="AJ123" s="58">
        <v>124</v>
      </c>
      <c r="AK123" s="58">
        <v>125</v>
      </c>
      <c r="AL123" s="58">
        <v>119</v>
      </c>
      <c r="AM123" s="58">
        <v>73</v>
      </c>
      <c r="AN123" s="58">
        <v>47</v>
      </c>
      <c r="AO123" s="58">
        <v>40</v>
      </c>
      <c r="AP123" s="58">
        <v>28.641475608687202</v>
      </c>
      <c r="AQ123" s="58">
        <v>40.625317411962683</v>
      </c>
      <c r="AR123" s="58">
        <v>22.619227224983025</v>
      </c>
      <c r="AS123" s="58">
        <v>35.263157894736857</v>
      </c>
      <c r="AT123" s="58">
        <v>55.202932015968578</v>
      </c>
      <c r="AU123" s="58">
        <v>3.4672999382018994</v>
      </c>
      <c r="AV123" s="58">
        <v>2.0519955007284376</v>
      </c>
      <c r="AW123" s="58">
        <v>1.3958526323403946</v>
      </c>
      <c r="AX123" s="58">
        <v>20.699096592210182</v>
      </c>
      <c r="AY123" s="58">
        <v>7.7824271050708924E-2</v>
      </c>
      <c r="AZ123" s="58" t="s">
        <v>920</v>
      </c>
      <c r="BA123" s="58">
        <v>13.249999999999995</v>
      </c>
      <c r="BB123" s="58" t="s">
        <v>920</v>
      </c>
      <c r="BC123" s="58">
        <v>3.4206909680585458</v>
      </c>
      <c r="BD123" s="58">
        <v>5.0394524094892814</v>
      </c>
      <c r="BE123" s="58" t="s">
        <v>920</v>
      </c>
      <c r="BF123" s="58">
        <v>53.189916703657069</v>
      </c>
      <c r="BG123" s="58">
        <v>80.530904976326923</v>
      </c>
      <c r="BH123" s="58" t="s">
        <v>920</v>
      </c>
      <c r="BI123" s="58">
        <v>33.87456861077893</v>
      </c>
      <c r="BJ123" s="58" t="s">
        <v>920</v>
      </c>
      <c r="BK123" s="58">
        <v>17.140514133496072</v>
      </c>
      <c r="BL123" s="58">
        <v>0.96138435880007389</v>
      </c>
      <c r="BM123" s="58">
        <v>33.743578638370572</v>
      </c>
      <c r="BN123" s="58" t="s">
        <v>920</v>
      </c>
      <c r="BO123" s="58" t="s">
        <v>920</v>
      </c>
      <c r="BP123" s="58">
        <v>1.6076686475295376</v>
      </c>
      <c r="BQ123" s="58">
        <v>35.724674696529441</v>
      </c>
      <c r="BR123" s="58">
        <v>4.5462135500393792</v>
      </c>
      <c r="BS123" s="58" t="s">
        <v>920</v>
      </c>
      <c r="BT123" s="58">
        <v>4.6191239613836101</v>
      </c>
      <c r="BU123" s="58">
        <v>20.255293764088979</v>
      </c>
      <c r="BV123" s="58">
        <v>52.812499999642583</v>
      </c>
      <c r="BW123" s="58">
        <v>2.1361000113233262</v>
      </c>
      <c r="BX123" s="58">
        <v>50</v>
      </c>
      <c r="BY123" s="58">
        <v>27.270841974284526</v>
      </c>
      <c r="BZ123" s="58">
        <v>18.842573000423187</v>
      </c>
      <c r="CA123" s="58">
        <v>53.682929718772144</v>
      </c>
      <c r="CB123" s="58" t="s">
        <v>920</v>
      </c>
      <c r="CC123" s="58">
        <v>6.1950946573726018</v>
      </c>
      <c r="CD123" s="58" t="s">
        <v>920</v>
      </c>
      <c r="CE123" s="58">
        <v>38.185046299421032</v>
      </c>
      <c r="CF123" s="58" t="s">
        <v>920</v>
      </c>
      <c r="CG123" s="58">
        <v>22.246805100953402</v>
      </c>
      <c r="CH123" s="58">
        <v>68.588025022341384</v>
      </c>
      <c r="CI123" s="58">
        <v>86.979166666666671</v>
      </c>
      <c r="CJ123" s="58">
        <v>42.857142857142861</v>
      </c>
      <c r="CK123" s="58">
        <v>68.867142928229143</v>
      </c>
      <c r="CL123" s="58">
        <v>77.777777777777786</v>
      </c>
      <c r="CM123" s="58" t="s">
        <v>920</v>
      </c>
      <c r="CN123" s="58">
        <v>80</v>
      </c>
      <c r="CO123" s="58">
        <v>71.689989235737357</v>
      </c>
      <c r="CP123" s="58">
        <v>67.417311216566816</v>
      </c>
      <c r="CQ123" s="58">
        <v>117</v>
      </c>
      <c r="CR123" s="58">
        <v>96</v>
      </c>
      <c r="CS123" s="58">
        <v>89</v>
      </c>
      <c r="CT123" s="58">
        <v>116</v>
      </c>
      <c r="CU123" s="58">
        <v>121</v>
      </c>
      <c r="CV123" s="58">
        <v>83</v>
      </c>
      <c r="CW123" s="58">
        <v>103</v>
      </c>
      <c r="CX123" s="58">
        <v>91</v>
      </c>
      <c r="CY123" s="58">
        <v>118</v>
      </c>
      <c r="CZ123" s="58">
        <v>121</v>
      </c>
      <c r="DA123" s="58" t="s">
        <v>920</v>
      </c>
      <c r="DB123" s="58">
        <v>122</v>
      </c>
      <c r="DC123" s="58" t="s">
        <v>920</v>
      </c>
      <c r="DD123" s="58">
        <v>104</v>
      </c>
      <c r="DE123" s="58">
        <v>94</v>
      </c>
      <c r="DF123" s="58" t="s">
        <v>920</v>
      </c>
      <c r="DG123" s="58">
        <v>85</v>
      </c>
      <c r="DH123" s="58">
        <v>64</v>
      </c>
      <c r="DI123" s="58" t="s">
        <v>920</v>
      </c>
      <c r="DJ123" s="58">
        <v>92</v>
      </c>
      <c r="DK123" s="58" t="s">
        <v>920</v>
      </c>
      <c r="DL123" s="58">
        <v>116</v>
      </c>
      <c r="DM123" s="58">
        <v>96</v>
      </c>
      <c r="DN123" s="58">
        <v>110</v>
      </c>
      <c r="DO123" s="58" t="s">
        <v>920</v>
      </c>
      <c r="DP123" s="58" t="s">
        <v>920</v>
      </c>
      <c r="DQ123" s="58">
        <v>96</v>
      </c>
      <c r="DR123" s="58">
        <v>107</v>
      </c>
      <c r="DS123" s="58">
        <v>125</v>
      </c>
      <c r="DT123" s="58" t="s">
        <v>920</v>
      </c>
      <c r="DU123" s="58">
        <v>112</v>
      </c>
      <c r="DV123" s="58">
        <v>114</v>
      </c>
      <c r="DW123" s="58">
        <v>93</v>
      </c>
      <c r="DX123" s="58">
        <v>113</v>
      </c>
      <c r="DY123" s="58">
        <v>107</v>
      </c>
      <c r="DZ123" s="58">
        <v>114</v>
      </c>
      <c r="EA123" s="58">
        <v>116</v>
      </c>
      <c r="EB123" s="58">
        <v>90</v>
      </c>
      <c r="EC123" s="58" t="s">
        <v>920</v>
      </c>
      <c r="ED123" s="58">
        <v>79</v>
      </c>
      <c r="EE123" s="58" t="s">
        <v>920</v>
      </c>
      <c r="EF123" s="58">
        <v>107</v>
      </c>
      <c r="EG123" s="58" t="s">
        <v>920</v>
      </c>
      <c r="EH123" s="58">
        <v>46</v>
      </c>
      <c r="EI123" s="58">
        <v>45</v>
      </c>
      <c r="EJ123" s="58">
        <v>28</v>
      </c>
      <c r="EK123" s="58">
        <v>103</v>
      </c>
      <c r="EL123" s="58">
        <v>55</v>
      </c>
      <c r="EM123" s="58">
        <v>76</v>
      </c>
      <c r="EN123" s="58" t="s">
        <v>920</v>
      </c>
      <c r="EO123" s="58">
        <v>58</v>
      </c>
      <c r="EP123" s="58">
        <v>80</v>
      </c>
      <c r="EQ123" s="58">
        <v>56</v>
      </c>
    </row>
    <row r="124" spans="1:147" x14ac:dyDescent="0.45">
      <c r="A124" t="s">
        <v>130</v>
      </c>
      <c r="B124" s="59" t="s">
        <v>409</v>
      </c>
      <c r="C124" s="37" t="s">
        <v>25</v>
      </c>
      <c r="D124" s="37" t="s">
        <v>882</v>
      </c>
      <c r="E124" s="104">
        <v>7842.8119999999999</v>
      </c>
      <c r="F124" s="104">
        <v>16341000</v>
      </c>
      <c r="G124" s="87">
        <v>31.099032696451211</v>
      </c>
      <c r="H124" s="1" t="s">
        <v>257</v>
      </c>
      <c r="I124" s="58">
        <v>118</v>
      </c>
      <c r="J124" s="87">
        <v>21.413341110027805</v>
      </c>
      <c r="K124" s="87">
        <v>30.243333793881003</v>
      </c>
      <c r="L124" s="87">
        <v>38.190419490015593</v>
      </c>
      <c r="M124" s="87">
        <v>34.549036391880435</v>
      </c>
      <c r="N124" s="58">
        <v>116</v>
      </c>
      <c r="O124" s="58">
        <v>103</v>
      </c>
      <c r="P124" s="58">
        <v>111</v>
      </c>
      <c r="Q124" s="58">
        <v>120</v>
      </c>
      <c r="R124" s="58">
        <v>30.140430081248624</v>
      </c>
      <c r="S124" s="58">
        <v>13.663162611557052</v>
      </c>
      <c r="T124" s="58">
        <v>20.436430637277738</v>
      </c>
      <c r="U124" s="58">
        <v>38.640531342332629</v>
      </c>
      <c r="V124" s="58">
        <v>22.979288133697981</v>
      </c>
      <c r="W124" s="58">
        <v>29.1101819056124</v>
      </c>
      <c r="X124" s="58">
        <v>27.288288177920027</v>
      </c>
      <c r="Y124" s="58">
        <v>37.139853499053658</v>
      </c>
      <c r="Z124" s="58">
        <v>50.143116793073105</v>
      </c>
      <c r="AA124" s="58">
        <v>17.768253232446639</v>
      </c>
      <c r="AB124" s="58">
        <v>25.576881517338631</v>
      </c>
      <c r="AC124" s="58">
        <v>60.301974425856024</v>
      </c>
      <c r="AD124" s="58">
        <v>120</v>
      </c>
      <c r="AE124" s="58">
        <v>104</v>
      </c>
      <c r="AF124" s="58">
        <v>107</v>
      </c>
      <c r="AG124" s="58">
        <v>100</v>
      </c>
      <c r="AH124" s="58">
        <v>95</v>
      </c>
      <c r="AI124" s="58">
        <v>94</v>
      </c>
      <c r="AJ124" s="58">
        <v>116</v>
      </c>
      <c r="AK124" s="58">
        <v>114</v>
      </c>
      <c r="AL124" s="58">
        <v>98</v>
      </c>
      <c r="AM124" s="58">
        <v>116</v>
      </c>
      <c r="AN124" s="58">
        <v>125</v>
      </c>
      <c r="AO124" s="58">
        <v>80</v>
      </c>
      <c r="AP124" s="58">
        <v>0</v>
      </c>
      <c r="AQ124" s="58">
        <v>29.689879048576469</v>
      </c>
      <c r="AR124" s="58">
        <v>25.750853712332834</v>
      </c>
      <c r="AS124" s="58">
        <v>36.315789473684241</v>
      </c>
      <c r="AT124" s="58">
        <v>66.535308032245098</v>
      </c>
      <c r="AU124" s="58">
        <v>22.5507502206531</v>
      </c>
      <c r="AV124" s="58">
        <v>0.94915437140721914</v>
      </c>
      <c r="AW124" s="58">
        <v>1.0470602869766839</v>
      </c>
      <c r="AX124" s="58">
        <v>48.724485726090059</v>
      </c>
      <c r="AY124" s="58">
        <v>3.9319500617542453</v>
      </c>
      <c r="AZ124" s="58">
        <v>42.083855286421397</v>
      </c>
      <c r="BA124" s="58">
        <v>12.250000000000005</v>
      </c>
      <c r="BB124" s="58" t="s">
        <v>920</v>
      </c>
      <c r="BC124" s="58">
        <v>6.9754366254118114</v>
      </c>
      <c r="BD124" s="58">
        <v>4.4715248415771001</v>
      </c>
      <c r="BE124" s="58">
        <v>53.26519561048999</v>
      </c>
      <c r="BF124" s="58">
        <v>7.2445638528103498</v>
      </c>
      <c r="BG124" s="58">
        <v>89.580841064453082</v>
      </c>
      <c r="BH124" s="58" t="s">
        <v>920</v>
      </c>
      <c r="BI124" s="58">
        <v>32.283145924366494</v>
      </c>
      <c r="BJ124" s="58" t="s">
        <v>920</v>
      </c>
      <c r="BK124" s="58">
        <v>35.761150897363045</v>
      </c>
      <c r="BL124" s="58">
        <v>0.89356757936439424</v>
      </c>
      <c r="BM124" s="58">
        <v>29.022749966915701</v>
      </c>
      <c r="BN124" s="58" t="s">
        <v>920</v>
      </c>
      <c r="BO124" s="58">
        <v>29.1976138443091</v>
      </c>
      <c r="BP124" s="58" t="s">
        <v>920</v>
      </c>
      <c r="BQ124" s="58">
        <v>35.334620598154736</v>
      </c>
      <c r="BR124" s="58">
        <v>27.743890744160733</v>
      </c>
      <c r="BS124" s="58">
        <v>44.569938432341495</v>
      </c>
      <c r="BT124" s="58">
        <v>1.5047029370231459</v>
      </c>
      <c r="BU124" s="58">
        <v>8.7364670866289202</v>
      </c>
      <c r="BV124" s="58">
        <v>44.374999999589846</v>
      </c>
      <c r="BW124" s="58" t="s">
        <v>920</v>
      </c>
      <c r="BX124" s="58">
        <v>75</v>
      </c>
      <c r="BY124" s="58">
        <v>20.447946909995849</v>
      </c>
      <c r="BZ124" s="58">
        <v>23.190859077443925</v>
      </c>
      <c r="CA124" s="58">
        <v>55.342863780260878</v>
      </c>
      <c r="CB124" s="58">
        <v>73.198199313163656</v>
      </c>
      <c r="CC124" s="58">
        <v>48.840545001423948</v>
      </c>
      <c r="CD124" s="58">
        <v>5.0795327208754411E-2</v>
      </c>
      <c r="CE124" s="58">
        <v>41.809973376628186</v>
      </c>
      <c r="CF124" s="58">
        <v>22.955336655756753</v>
      </c>
      <c r="CG124" s="58">
        <v>6.2569075701928671</v>
      </c>
      <c r="CH124" s="58">
        <v>3.0384271671134968</v>
      </c>
      <c r="CI124" s="58">
        <v>46.093749999999993</v>
      </c>
      <c r="CJ124" s="58">
        <v>32.397959183673493</v>
      </c>
      <c r="CK124" s="58">
        <v>22.798975586131306</v>
      </c>
      <c r="CL124" s="58">
        <v>44.444444444444443</v>
      </c>
      <c r="CM124" s="58" t="s">
        <v>920</v>
      </c>
      <c r="CN124" s="58">
        <v>80.909090909090907</v>
      </c>
      <c r="CO124" s="58">
        <v>66.738428417653381</v>
      </c>
      <c r="CP124" s="58">
        <v>22.07236345720311</v>
      </c>
      <c r="CQ124" s="58">
        <v>127</v>
      </c>
      <c r="CR124" s="58">
        <v>116</v>
      </c>
      <c r="CS124" s="58">
        <v>80</v>
      </c>
      <c r="CT124" s="58">
        <v>115</v>
      </c>
      <c r="CU124" s="58">
        <v>96</v>
      </c>
      <c r="CV124" s="58">
        <v>79</v>
      </c>
      <c r="CW124" s="58">
        <v>111</v>
      </c>
      <c r="CX124" s="58">
        <v>95</v>
      </c>
      <c r="CY124" s="58">
        <v>101</v>
      </c>
      <c r="CZ124" s="58">
        <v>71</v>
      </c>
      <c r="DA124" s="58">
        <v>90</v>
      </c>
      <c r="DB124" s="58">
        <v>123</v>
      </c>
      <c r="DC124" s="58" t="s">
        <v>920</v>
      </c>
      <c r="DD124" s="58">
        <v>88</v>
      </c>
      <c r="DE124" s="58">
        <v>98</v>
      </c>
      <c r="DF124" s="58">
        <v>61</v>
      </c>
      <c r="DG124" s="58">
        <v>118</v>
      </c>
      <c r="DH124" s="58">
        <v>55</v>
      </c>
      <c r="DI124" s="58" t="s">
        <v>920</v>
      </c>
      <c r="DJ124" s="58">
        <v>94</v>
      </c>
      <c r="DK124" s="58" t="s">
        <v>920</v>
      </c>
      <c r="DL124" s="58">
        <v>86</v>
      </c>
      <c r="DM124" s="58">
        <v>97</v>
      </c>
      <c r="DN124" s="58">
        <v>112</v>
      </c>
      <c r="DO124" s="58" t="s">
        <v>920</v>
      </c>
      <c r="DP124" s="58">
        <v>78</v>
      </c>
      <c r="DQ124" s="58" t="s">
        <v>920</v>
      </c>
      <c r="DR124" s="58">
        <v>108</v>
      </c>
      <c r="DS124" s="58">
        <v>113</v>
      </c>
      <c r="DT124" s="58">
        <v>25</v>
      </c>
      <c r="DU124" s="58">
        <v>115</v>
      </c>
      <c r="DV124" s="58">
        <v>126</v>
      </c>
      <c r="DW124" s="58">
        <v>105</v>
      </c>
      <c r="DX124" s="58" t="s">
        <v>920</v>
      </c>
      <c r="DY124" s="58">
        <v>72</v>
      </c>
      <c r="DZ124" s="58">
        <v>120</v>
      </c>
      <c r="EA124" s="58">
        <v>112</v>
      </c>
      <c r="EB124" s="58">
        <v>88</v>
      </c>
      <c r="EC124" s="58">
        <v>8</v>
      </c>
      <c r="ED124" s="58">
        <v>54</v>
      </c>
      <c r="EE124" s="58">
        <v>77</v>
      </c>
      <c r="EF124" s="58">
        <v>94</v>
      </c>
      <c r="EG124" s="58">
        <v>89</v>
      </c>
      <c r="EH124" s="58">
        <v>88</v>
      </c>
      <c r="EI124" s="58">
        <v>124</v>
      </c>
      <c r="EJ124" s="58">
        <v>111</v>
      </c>
      <c r="EK124" s="58">
        <v>106</v>
      </c>
      <c r="EL124" s="58">
        <v>124</v>
      </c>
      <c r="EM124" s="58">
        <v>100</v>
      </c>
      <c r="EN124" s="58" t="s">
        <v>920</v>
      </c>
      <c r="EO124" s="58">
        <v>57</v>
      </c>
      <c r="EP124" s="58">
        <v>88</v>
      </c>
      <c r="EQ124" s="58">
        <v>118</v>
      </c>
    </row>
    <row r="125" spans="1:147" x14ac:dyDescent="0.45">
      <c r="A125" t="s">
        <v>134</v>
      </c>
      <c r="B125" s="59" t="s">
        <v>414</v>
      </c>
      <c r="C125" s="37" t="s">
        <v>25</v>
      </c>
      <c r="D125" s="37" t="s">
        <v>883</v>
      </c>
      <c r="E125" s="104">
        <v>4419.777</v>
      </c>
      <c r="F125" s="104">
        <v>128692000</v>
      </c>
      <c r="G125" s="87">
        <v>27.518350468240662</v>
      </c>
      <c r="H125" s="1" t="s">
        <v>261</v>
      </c>
      <c r="I125" s="58">
        <v>119</v>
      </c>
      <c r="J125" s="87">
        <v>29.771701936836781</v>
      </c>
      <c r="K125" s="87">
        <v>17.259841719661569</v>
      </c>
      <c r="L125" s="87">
        <v>24.292439218826761</v>
      </c>
      <c r="M125" s="87">
        <v>38.749418997637541</v>
      </c>
      <c r="N125" s="58">
        <v>104</v>
      </c>
      <c r="O125" s="58">
        <v>121</v>
      </c>
      <c r="P125" s="58">
        <v>124</v>
      </c>
      <c r="Q125" s="58">
        <v>115</v>
      </c>
      <c r="R125" s="58">
        <v>55.271366929886518</v>
      </c>
      <c r="S125" s="58">
        <v>19.918738880623835</v>
      </c>
      <c r="T125" s="58">
        <v>14.124999999999998</v>
      </c>
      <c r="U125" s="58">
        <v>17.68234179307635</v>
      </c>
      <c r="V125" s="58">
        <v>21.56065055468461</v>
      </c>
      <c r="W125" s="58">
        <v>12.536532811223747</v>
      </c>
      <c r="X125" s="58">
        <v>23.27560423229227</v>
      </c>
      <c r="Y125" s="58">
        <v>34.009898314573235</v>
      </c>
      <c r="Z125" s="58">
        <v>15.591815109614782</v>
      </c>
      <c r="AA125" s="58">
        <v>32.236126263949139</v>
      </c>
      <c r="AB125" s="58">
        <v>39.314751052196705</v>
      </c>
      <c r="AC125" s="58">
        <v>44.697379676766786</v>
      </c>
      <c r="AD125" s="58">
        <v>101</v>
      </c>
      <c r="AE125" s="58">
        <v>81</v>
      </c>
      <c r="AF125" s="58">
        <v>119</v>
      </c>
      <c r="AG125" s="58">
        <v>123</v>
      </c>
      <c r="AH125" s="58">
        <v>102</v>
      </c>
      <c r="AI125" s="58">
        <v>123</v>
      </c>
      <c r="AJ125" s="58">
        <v>119</v>
      </c>
      <c r="AK125" s="58">
        <v>123</v>
      </c>
      <c r="AL125" s="58">
        <v>124</v>
      </c>
      <c r="AM125" s="58">
        <v>62</v>
      </c>
      <c r="AN125" s="58">
        <v>115</v>
      </c>
      <c r="AO125" s="58">
        <v>115</v>
      </c>
      <c r="AP125" s="58">
        <v>47.483546444134198</v>
      </c>
      <c r="AQ125" s="58">
        <v>32.480853737808573</v>
      </c>
      <c r="AR125" s="58">
        <v>34.354687288448297</v>
      </c>
      <c r="AS125" s="58">
        <v>93.684210526315766</v>
      </c>
      <c r="AT125" s="58">
        <v>68.353536652725751</v>
      </c>
      <c r="AU125" s="58" t="s">
        <v>920</v>
      </c>
      <c r="AV125" s="58">
        <v>0.87014188762389799</v>
      </c>
      <c r="AW125" s="58">
        <v>0</v>
      </c>
      <c r="AX125" s="58">
        <v>45.607322170084188</v>
      </c>
      <c r="AY125" s="58">
        <v>33.197491464787262</v>
      </c>
      <c r="AZ125" s="58" t="s">
        <v>920</v>
      </c>
      <c r="BA125" s="58">
        <v>28.249999999999996</v>
      </c>
      <c r="BB125" s="58" t="s">
        <v>920</v>
      </c>
      <c r="BC125" s="58">
        <v>0</v>
      </c>
      <c r="BD125" s="58">
        <v>13.025347722000694</v>
      </c>
      <c r="BE125" s="58" t="s">
        <v>920</v>
      </c>
      <c r="BF125" s="58">
        <v>0.85941452058481438</v>
      </c>
      <c r="BG125" s="58">
        <v>39.162263136643539</v>
      </c>
      <c r="BH125" s="58" t="s">
        <v>920</v>
      </c>
      <c r="BI125" s="58">
        <v>27.849897012217571</v>
      </c>
      <c r="BJ125" s="58">
        <v>1.6110222164316592</v>
      </c>
      <c r="BK125" s="58">
        <v>52.849472008921985</v>
      </c>
      <c r="BL125" s="58">
        <v>3.9322109811672177</v>
      </c>
      <c r="BM125" s="58">
        <v>20.832280651098998</v>
      </c>
      <c r="BN125" s="58" t="s">
        <v>920</v>
      </c>
      <c r="BO125" s="58" t="s">
        <v>920</v>
      </c>
      <c r="BP125" s="58">
        <v>4.2407849713484982</v>
      </c>
      <c r="BQ125" s="58">
        <v>21.328391704464781</v>
      </c>
      <c r="BR125" s="58">
        <v>71.774025224704303</v>
      </c>
      <c r="BS125" s="58">
        <v>0</v>
      </c>
      <c r="BT125" s="58">
        <v>0</v>
      </c>
      <c r="BU125" s="58">
        <v>16.676258542969912</v>
      </c>
      <c r="BV125" s="58">
        <v>9.9999999994374971</v>
      </c>
      <c r="BW125" s="58" t="s">
        <v>920</v>
      </c>
      <c r="BX125" s="58">
        <v>75</v>
      </c>
      <c r="BY125" s="58">
        <v>34.363334715885522</v>
      </c>
      <c r="BZ125" s="58">
        <v>11.595429538721962</v>
      </c>
      <c r="CA125" s="58">
        <v>29.919159443075412</v>
      </c>
      <c r="CB125" s="58">
        <v>10.837457789656025</v>
      </c>
      <c r="CC125" s="58">
        <v>10.015213667005721</v>
      </c>
      <c r="CD125" s="58" t="s">
        <v>920</v>
      </c>
      <c r="CE125" s="58">
        <v>57.62978221200656</v>
      </c>
      <c r="CF125" s="58" t="s">
        <v>920</v>
      </c>
      <c r="CG125" s="58">
        <v>6.8424703158917186</v>
      </c>
      <c r="CH125" s="58">
        <v>14.253798033958901</v>
      </c>
      <c r="CI125" s="58">
        <v>38.541666666666671</v>
      </c>
      <c r="CJ125" s="58">
        <v>81.377551020408163</v>
      </c>
      <c r="CK125" s="58">
        <v>48.920025891520915</v>
      </c>
      <c r="CL125" s="58">
        <v>0</v>
      </c>
      <c r="CM125" s="58" t="s">
        <v>920</v>
      </c>
      <c r="CN125" s="58">
        <v>70.909090909090907</v>
      </c>
      <c r="CO125" s="58">
        <v>45.96340150699676</v>
      </c>
      <c r="CP125" s="58">
        <v>34.43929322842537</v>
      </c>
      <c r="CQ125" s="58">
        <v>100</v>
      </c>
      <c r="CR125" s="58">
        <v>112</v>
      </c>
      <c r="CS125" s="58">
        <v>56</v>
      </c>
      <c r="CT125" s="58">
        <v>74</v>
      </c>
      <c r="CU125" s="58">
        <v>81</v>
      </c>
      <c r="CV125" s="58" t="s">
        <v>920</v>
      </c>
      <c r="CW125" s="58">
        <v>112</v>
      </c>
      <c r="CX125" s="58">
        <v>127</v>
      </c>
      <c r="CY125" s="58">
        <v>103</v>
      </c>
      <c r="CZ125" s="58">
        <v>25</v>
      </c>
      <c r="DA125" s="58" t="s">
        <v>920</v>
      </c>
      <c r="DB125" s="58">
        <v>98</v>
      </c>
      <c r="DC125" s="58" t="s">
        <v>920</v>
      </c>
      <c r="DD125" s="58">
        <v>127</v>
      </c>
      <c r="DE125" s="58">
        <v>69</v>
      </c>
      <c r="DF125" s="58" t="s">
        <v>920</v>
      </c>
      <c r="DG125" s="58">
        <v>126</v>
      </c>
      <c r="DH125" s="58">
        <v>89</v>
      </c>
      <c r="DI125" s="58" t="s">
        <v>920</v>
      </c>
      <c r="DJ125" s="58">
        <v>98</v>
      </c>
      <c r="DK125" s="58">
        <v>83</v>
      </c>
      <c r="DL125" s="58">
        <v>26</v>
      </c>
      <c r="DM125" s="58">
        <v>69</v>
      </c>
      <c r="DN125" s="58">
        <v>119</v>
      </c>
      <c r="DO125" s="58" t="s">
        <v>920</v>
      </c>
      <c r="DP125" s="58" t="s">
        <v>920</v>
      </c>
      <c r="DQ125" s="58">
        <v>76</v>
      </c>
      <c r="DR125" s="58">
        <v>124</v>
      </c>
      <c r="DS125" s="58">
        <v>85</v>
      </c>
      <c r="DT125" s="58">
        <v>57</v>
      </c>
      <c r="DU125" s="58">
        <v>118</v>
      </c>
      <c r="DV125" s="58">
        <v>123</v>
      </c>
      <c r="DW125" s="58">
        <v>124</v>
      </c>
      <c r="DX125" s="58" t="s">
        <v>920</v>
      </c>
      <c r="DY125" s="58">
        <v>72</v>
      </c>
      <c r="DZ125" s="58">
        <v>108</v>
      </c>
      <c r="EA125" s="58">
        <v>124</v>
      </c>
      <c r="EB125" s="58">
        <v>113</v>
      </c>
      <c r="EC125" s="58">
        <v>103</v>
      </c>
      <c r="ED125" s="58">
        <v>78</v>
      </c>
      <c r="EE125" s="58" t="s">
        <v>920</v>
      </c>
      <c r="EF125" s="58">
        <v>54</v>
      </c>
      <c r="EG125" s="58" t="s">
        <v>920</v>
      </c>
      <c r="EH125" s="58">
        <v>85</v>
      </c>
      <c r="EI125" s="58">
        <v>115</v>
      </c>
      <c r="EJ125" s="58">
        <v>114</v>
      </c>
      <c r="EK125" s="58">
        <v>29</v>
      </c>
      <c r="EL125" s="58">
        <v>100</v>
      </c>
      <c r="EM125" s="58">
        <v>125</v>
      </c>
      <c r="EN125" s="58" t="s">
        <v>920</v>
      </c>
      <c r="EO125" s="58">
        <v>84</v>
      </c>
      <c r="EP125" s="58">
        <v>111</v>
      </c>
      <c r="EQ125" s="58">
        <v>106</v>
      </c>
    </row>
    <row r="126" spans="1:147" x14ac:dyDescent="0.45">
      <c r="A126" t="s">
        <v>127</v>
      </c>
      <c r="B126" s="59" t="s">
        <v>412</v>
      </c>
      <c r="C126" s="37" t="s">
        <v>25</v>
      </c>
      <c r="D126" s="37" t="s">
        <v>883</v>
      </c>
      <c r="E126" s="104">
        <v>2889.9670000000001</v>
      </c>
      <c r="F126" s="104">
        <v>23769000</v>
      </c>
      <c r="G126" s="87">
        <v>26.874223882588801</v>
      </c>
      <c r="H126" s="1" t="s">
        <v>254</v>
      </c>
      <c r="I126" s="58">
        <v>120</v>
      </c>
      <c r="J126" s="87">
        <v>16.557128185977891</v>
      </c>
      <c r="K126" s="87">
        <v>16.379060700128719</v>
      </c>
      <c r="L126" s="87">
        <v>32.476098369532693</v>
      </c>
      <c r="M126" s="87">
        <v>42.084608274715897</v>
      </c>
      <c r="N126" s="58">
        <v>121</v>
      </c>
      <c r="O126" s="58">
        <v>123</v>
      </c>
      <c r="P126" s="58">
        <v>120</v>
      </c>
      <c r="Q126" s="58">
        <v>105</v>
      </c>
      <c r="R126" s="58">
        <v>21.080984980080085</v>
      </c>
      <c r="S126" s="58">
        <v>0.13774748245720556</v>
      </c>
      <c r="T126" s="58">
        <v>28.452652095396392</v>
      </c>
      <c r="U126" s="58">
        <v>14.756264999390135</v>
      </c>
      <c r="V126" s="58">
        <v>12.204554647607409</v>
      </c>
      <c r="W126" s="58">
        <v>22.176362453388617</v>
      </c>
      <c r="X126" s="58">
        <v>14.216619291295901</v>
      </c>
      <c r="Y126" s="58">
        <v>35.541326278580684</v>
      </c>
      <c r="Z126" s="58">
        <v>47.670349538721496</v>
      </c>
      <c r="AA126" s="58">
        <v>34.601799630469088</v>
      </c>
      <c r="AB126" s="58">
        <v>47.512751132289885</v>
      </c>
      <c r="AC126" s="58">
        <v>44.139274061388733</v>
      </c>
      <c r="AD126" s="58">
        <v>125</v>
      </c>
      <c r="AE126" s="58">
        <v>127</v>
      </c>
      <c r="AF126" s="58">
        <v>88</v>
      </c>
      <c r="AG126" s="58">
        <v>126</v>
      </c>
      <c r="AH126" s="58">
        <v>125</v>
      </c>
      <c r="AI126" s="58">
        <v>111</v>
      </c>
      <c r="AJ126" s="58">
        <v>125</v>
      </c>
      <c r="AK126" s="58">
        <v>118</v>
      </c>
      <c r="AL126" s="58">
        <v>103</v>
      </c>
      <c r="AM126" s="58">
        <v>56</v>
      </c>
      <c r="AN126" s="58">
        <v>102</v>
      </c>
      <c r="AO126" s="58">
        <v>118</v>
      </c>
      <c r="AP126" s="58">
        <v>21.0485834444668</v>
      </c>
      <c r="AQ126" s="58">
        <v>25.29902750393186</v>
      </c>
      <c r="AR126" s="58">
        <v>16.748260517636897</v>
      </c>
      <c r="AS126" s="58">
        <v>0</v>
      </c>
      <c r="AT126" s="58">
        <v>61.942628426995292</v>
      </c>
      <c r="AU126" s="58">
        <v>1.44740998744964</v>
      </c>
      <c r="AV126" s="58">
        <v>0</v>
      </c>
      <c r="AW126" s="58">
        <v>0.17169925003071101</v>
      </c>
      <c r="AX126" s="58" t="s">
        <v>920</v>
      </c>
      <c r="AY126" s="58">
        <v>0.2415431973409056</v>
      </c>
      <c r="AZ126" s="58">
        <v>50.298792979889129</v>
      </c>
      <c r="BA126" s="58">
        <v>33.25</v>
      </c>
      <c r="BB126" s="58" t="s">
        <v>920</v>
      </c>
      <c r="BC126" s="58">
        <v>1.8091633063000458</v>
      </c>
      <c r="BD126" s="58">
        <v>0.26598615376860268</v>
      </c>
      <c r="BE126" s="58">
        <v>54.957282752699314</v>
      </c>
      <c r="BF126" s="58">
        <v>3.8017910910926274</v>
      </c>
      <c r="BG126" s="58">
        <v>0</v>
      </c>
      <c r="BH126" s="58" t="s">
        <v>920</v>
      </c>
      <c r="BI126" s="58">
        <v>0</v>
      </c>
      <c r="BJ126" s="58" t="s">
        <v>920</v>
      </c>
      <c r="BK126" s="58">
        <v>36.106757152502183</v>
      </c>
      <c r="BL126" s="58">
        <v>0.50690679032004282</v>
      </c>
      <c r="BM126" s="58">
        <v>19.803659724979244</v>
      </c>
      <c r="BN126" s="58" t="s">
        <v>920</v>
      </c>
      <c r="BO126" s="58">
        <v>44.070032618137482</v>
      </c>
      <c r="BP126" s="58">
        <v>2.6553950170491154</v>
      </c>
      <c r="BQ126" s="58">
        <v>19.595850120267162</v>
      </c>
      <c r="BR126" s="58">
        <v>15.259813738514442</v>
      </c>
      <c r="BS126" s="58" t="s">
        <v>920</v>
      </c>
      <c r="BT126" s="58">
        <v>7.7941940151061022</v>
      </c>
      <c r="BU126" s="58">
        <v>25.222620329173285</v>
      </c>
      <c r="BV126" s="58">
        <v>38.12499999961328</v>
      </c>
      <c r="BW126" s="58">
        <v>24.686675933465633</v>
      </c>
      <c r="BX126" s="58">
        <v>50</v>
      </c>
      <c r="BY126" s="58">
        <v>39.672335130651184</v>
      </c>
      <c r="BZ126" s="58">
        <v>23.190859077443925</v>
      </c>
      <c r="CA126" s="58">
        <v>56.214963453736303</v>
      </c>
      <c r="CB126" s="58" t="s">
        <v>920</v>
      </c>
      <c r="CC126" s="58">
        <v>63.60522608498426</v>
      </c>
      <c r="CD126" s="58" t="s">
        <v>920</v>
      </c>
      <c r="CE126" s="58">
        <v>39.48674308784058</v>
      </c>
      <c r="CF126" s="58">
        <v>42.951738591136781</v>
      </c>
      <c r="CG126" s="58">
        <v>21.366917212429904</v>
      </c>
      <c r="CH126" s="58">
        <v>24.240393208221626</v>
      </c>
      <c r="CI126" s="58">
        <v>68.098958333333343</v>
      </c>
      <c r="CJ126" s="58">
        <v>69.642857142857139</v>
      </c>
      <c r="CK126" s="58">
        <v>30.754946567772222</v>
      </c>
      <c r="CL126" s="58">
        <v>13.333333333333334</v>
      </c>
      <c r="CM126" s="58" t="s">
        <v>920</v>
      </c>
      <c r="CN126" s="58">
        <v>47.272727272727273</v>
      </c>
      <c r="CO126" s="58">
        <v>62.432723358449941</v>
      </c>
      <c r="CP126" s="58">
        <v>32.09140977264461</v>
      </c>
      <c r="CQ126" s="58">
        <v>121</v>
      </c>
      <c r="CR126" s="58">
        <v>120</v>
      </c>
      <c r="CS126" s="58">
        <v>100</v>
      </c>
      <c r="CT126" s="58">
        <v>121</v>
      </c>
      <c r="CU126" s="58">
        <v>109</v>
      </c>
      <c r="CV126" s="58">
        <v>85</v>
      </c>
      <c r="CW126" s="58">
        <v>125</v>
      </c>
      <c r="CX126" s="58">
        <v>118</v>
      </c>
      <c r="CY126" s="58" t="s">
        <v>920</v>
      </c>
      <c r="CZ126" s="58">
        <v>113</v>
      </c>
      <c r="DA126" s="58">
        <v>78</v>
      </c>
      <c r="DB126" s="58">
        <v>86</v>
      </c>
      <c r="DC126" s="58" t="s">
        <v>920</v>
      </c>
      <c r="DD126" s="58">
        <v>115</v>
      </c>
      <c r="DE126" s="58">
        <v>123</v>
      </c>
      <c r="DF126" s="58">
        <v>57</v>
      </c>
      <c r="DG126" s="58">
        <v>122</v>
      </c>
      <c r="DH126" s="58">
        <v>96</v>
      </c>
      <c r="DI126" s="58" t="s">
        <v>920</v>
      </c>
      <c r="DJ126" s="58">
        <v>109</v>
      </c>
      <c r="DK126" s="58" t="s">
        <v>920</v>
      </c>
      <c r="DL126" s="58">
        <v>84</v>
      </c>
      <c r="DM126" s="58">
        <v>106</v>
      </c>
      <c r="DN126" s="58">
        <v>121</v>
      </c>
      <c r="DO126" s="58" t="s">
        <v>920</v>
      </c>
      <c r="DP126" s="58">
        <v>45</v>
      </c>
      <c r="DQ126" s="58">
        <v>86</v>
      </c>
      <c r="DR126" s="58">
        <v>125</v>
      </c>
      <c r="DS126" s="58">
        <v>123</v>
      </c>
      <c r="DT126" s="58" t="s">
        <v>920</v>
      </c>
      <c r="DU126" s="58">
        <v>98</v>
      </c>
      <c r="DV126" s="58">
        <v>107</v>
      </c>
      <c r="DW126" s="58">
        <v>113</v>
      </c>
      <c r="DX126" s="58">
        <v>94</v>
      </c>
      <c r="DY126" s="58">
        <v>107</v>
      </c>
      <c r="DZ126" s="58">
        <v>102</v>
      </c>
      <c r="EA126" s="58">
        <v>112</v>
      </c>
      <c r="EB126" s="58">
        <v>84</v>
      </c>
      <c r="EC126" s="58" t="s">
        <v>920</v>
      </c>
      <c r="ED126" s="58">
        <v>42</v>
      </c>
      <c r="EE126" s="58" t="s">
        <v>920</v>
      </c>
      <c r="EF126" s="58">
        <v>102</v>
      </c>
      <c r="EG126" s="58">
        <v>58</v>
      </c>
      <c r="EH126" s="58">
        <v>48</v>
      </c>
      <c r="EI126" s="58">
        <v>109</v>
      </c>
      <c r="EJ126" s="58">
        <v>69</v>
      </c>
      <c r="EK126" s="58">
        <v>62</v>
      </c>
      <c r="EL126" s="58">
        <v>119</v>
      </c>
      <c r="EM126" s="58">
        <v>118</v>
      </c>
      <c r="EN126" s="58" t="s">
        <v>920</v>
      </c>
      <c r="EO126" s="58">
        <v>114</v>
      </c>
      <c r="EP126" s="58">
        <v>96</v>
      </c>
      <c r="EQ126" s="58">
        <v>109</v>
      </c>
    </row>
    <row r="127" spans="1:147" x14ac:dyDescent="0.45">
      <c r="A127" t="s">
        <v>126</v>
      </c>
      <c r="B127" s="59" t="s">
        <v>413</v>
      </c>
      <c r="C127" s="37" t="s">
        <v>25</v>
      </c>
      <c r="D127" s="37" t="s">
        <v>883</v>
      </c>
      <c r="E127" s="104">
        <v>3019.0050000000001</v>
      </c>
      <c r="F127" s="104">
        <v>23026000</v>
      </c>
      <c r="G127" s="87">
        <v>25.572758907038391</v>
      </c>
      <c r="H127" s="1" t="s">
        <v>253</v>
      </c>
      <c r="I127" s="58">
        <v>121</v>
      </c>
      <c r="J127" s="87">
        <v>13.012167303220153</v>
      </c>
      <c r="K127" s="87">
        <v>12.829391304031793</v>
      </c>
      <c r="L127" s="87">
        <v>37.60830086184248</v>
      </c>
      <c r="M127" s="87">
        <v>38.841176159059138</v>
      </c>
      <c r="N127" s="58">
        <v>125</v>
      </c>
      <c r="O127" s="58">
        <v>127</v>
      </c>
      <c r="P127" s="58">
        <v>113</v>
      </c>
      <c r="Q127" s="58">
        <v>114</v>
      </c>
      <c r="R127" s="58">
        <v>14.12064936796447</v>
      </c>
      <c r="S127" s="58">
        <v>11.909419113029523</v>
      </c>
      <c r="T127" s="58">
        <v>13.006433428666467</v>
      </c>
      <c r="U127" s="58">
        <v>5.9593327704093122</v>
      </c>
      <c r="V127" s="58">
        <v>16.265452551348123</v>
      </c>
      <c r="W127" s="58">
        <v>16.263388590337943</v>
      </c>
      <c r="X127" s="58">
        <v>31.104642873197388</v>
      </c>
      <c r="Y127" s="58">
        <v>53.124454656562875</v>
      </c>
      <c r="Z127" s="58">
        <v>28.595805055767165</v>
      </c>
      <c r="AA127" s="58">
        <v>22.86253540244801</v>
      </c>
      <c r="AB127" s="58">
        <v>43.483778621454967</v>
      </c>
      <c r="AC127" s="58">
        <v>50.177214453274438</v>
      </c>
      <c r="AD127" s="58">
        <v>126</v>
      </c>
      <c r="AE127" s="58">
        <v>109</v>
      </c>
      <c r="AF127" s="58">
        <v>124</v>
      </c>
      <c r="AG127" s="58">
        <v>127</v>
      </c>
      <c r="AH127" s="58">
        <v>120</v>
      </c>
      <c r="AI127" s="58">
        <v>119</v>
      </c>
      <c r="AJ127" s="58">
        <v>112</v>
      </c>
      <c r="AK127" s="58">
        <v>85</v>
      </c>
      <c r="AL127" s="58">
        <v>117</v>
      </c>
      <c r="AM127" s="58">
        <v>105</v>
      </c>
      <c r="AN127" s="58">
        <v>111</v>
      </c>
      <c r="AO127" s="58">
        <v>105</v>
      </c>
      <c r="AP127" s="58">
        <v>16.774958391038599</v>
      </c>
      <c r="AQ127" s="58">
        <v>10.93687597891036</v>
      </c>
      <c r="AR127" s="58">
        <v>0.2236629272706116</v>
      </c>
      <c r="AS127" s="58">
        <v>0</v>
      </c>
      <c r="AT127" s="58">
        <v>56.365858901545494</v>
      </c>
      <c r="AU127" s="58">
        <v>0.42254000902175903</v>
      </c>
      <c r="AV127" s="58">
        <v>3.46925319798288E-2</v>
      </c>
      <c r="AW127" s="58">
        <v>7.2030983614101915E-2</v>
      </c>
      <c r="AX127" s="58">
        <v>42.057592036340701</v>
      </c>
      <c r="AY127" s="58">
        <v>5.4733609001834669</v>
      </c>
      <c r="AZ127" s="58" t="s">
        <v>920</v>
      </c>
      <c r="BA127" s="58">
        <v>24</v>
      </c>
      <c r="BB127" s="58" t="s">
        <v>920</v>
      </c>
      <c r="BC127" s="58">
        <v>2.0128668573329334</v>
      </c>
      <c r="BD127" s="58">
        <v>0.29625916481888531</v>
      </c>
      <c r="BE127" s="58" t="s">
        <v>920</v>
      </c>
      <c r="BF127" s="58">
        <v>7.6709183299767423</v>
      </c>
      <c r="BG127" s="58">
        <v>9.9108208164323095</v>
      </c>
      <c r="BH127" s="58" t="s">
        <v>920</v>
      </c>
      <c r="BI127" s="58">
        <v>15.914226864124329</v>
      </c>
      <c r="BJ127" s="58" t="s">
        <v>920</v>
      </c>
      <c r="BK127" s="58">
        <v>32.384290616712256</v>
      </c>
      <c r="BL127" s="58">
        <v>0.49784017320778329</v>
      </c>
      <c r="BM127" s="58">
        <v>20.313759459101792</v>
      </c>
      <c r="BN127" s="58">
        <v>24.600109619949315</v>
      </c>
      <c r="BO127" s="58" t="s">
        <v>920</v>
      </c>
      <c r="BP127" s="58">
        <v>3.8762966919627164</v>
      </c>
      <c r="BQ127" s="58">
        <v>23.812213268911108</v>
      </c>
      <c r="BR127" s="58">
        <v>64.425967696654425</v>
      </c>
      <c r="BS127" s="58" t="s">
        <v>920</v>
      </c>
      <c r="BT127" s="58">
        <v>5.0757476540266238</v>
      </c>
      <c r="BU127" s="58">
        <v>30.075587187202167</v>
      </c>
      <c r="BV127" s="58">
        <v>69.999999999812502</v>
      </c>
      <c r="BW127" s="58" t="s">
        <v>920</v>
      </c>
      <c r="BX127" s="58">
        <v>50</v>
      </c>
      <c r="BY127" s="58">
        <v>62.422231439236832</v>
      </c>
      <c r="BZ127" s="58">
        <v>17.393144308082945</v>
      </c>
      <c r="CA127" s="58">
        <v>46.524499770963004</v>
      </c>
      <c r="CB127" s="58">
        <v>0</v>
      </c>
      <c r="CC127" s="58">
        <v>50.465576144022705</v>
      </c>
      <c r="CD127" s="58" t="s">
        <v>920</v>
      </c>
      <c r="CE127" s="58">
        <v>39.494797932024248</v>
      </c>
      <c r="CF127" s="58" t="s">
        <v>920</v>
      </c>
      <c r="CG127" s="58">
        <v>6.2302728728717689</v>
      </c>
      <c r="CH127" s="58">
        <v>25.089365504915108</v>
      </c>
      <c r="CI127" s="58">
        <v>55.598958333333336</v>
      </c>
      <c r="CJ127" s="58">
        <v>65.306122448979607</v>
      </c>
      <c r="CK127" s="58">
        <v>34.219901603253327</v>
      </c>
      <c r="CL127" s="58">
        <v>11.111111111111111</v>
      </c>
      <c r="CM127" s="58" t="s">
        <v>920</v>
      </c>
      <c r="CN127" s="58">
        <v>74.545454545454547</v>
      </c>
      <c r="CO127" s="58">
        <v>57.481162540365979</v>
      </c>
      <c r="CP127" s="58">
        <v>25.898941436894461</v>
      </c>
      <c r="CQ127" s="58">
        <v>122</v>
      </c>
      <c r="CR127" s="58">
        <v>125</v>
      </c>
      <c r="CS127" s="58">
        <v>122</v>
      </c>
      <c r="CT127" s="58">
        <v>121</v>
      </c>
      <c r="CU127" s="58">
        <v>120</v>
      </c>
      <c r="CV127" s="58">
        <v>86</v>
      </c>
      <c r="CW127" s="58">
        <v>124</v>
      </c>
      <c r="CX127" s="58">
        <v>126</v>
      </c>
      <c r="CY127" s="58">
        <v>108</v>
      </c>
      <c r="CZ127" s="58">
        <v>64</v>
      </c>
      <c r="DA127" s="58" t="s">
        <v>920</v>
      </c>
      <c r="DB127" s="58">
        <v>107</v>
      </c>
      <c r="DC127" s="58" t="s">
        <v>920</v>
      </c>
      <c r="DD127" s="58">
        <v>113</v>
      </c>
      <c r="DE127" s="58">
        <v>122</v>
      </c>
      <c r="DF127" s="58" t="s">
        <v>920</v>
      </c>
      <c r="DG127" s="58">
        <v>117</v>
      </c>
      <c r="DH127" s="58">
        <v>95</v>
      </c>
      <c r="DI127" s="58" t="s">
        <v>920</v>
      </c>
      <c r="DJ127" s="58">
        <v>107</v>
      </c>
      <c r="DK127" s="58" t="s">
        <v>920</v>
      </c>
      <c r="DL127" s="58">
        <v>103</v>
      </c>
      <c r="DM127" s="58">
        <v>107</v>
      </c>
      <c r="DN127" s="58">
        <v>120</v>
      </c>
      <c r="DO127" s="58">
        <v>68</v>
      </c>
      <c r="DP127" s="58" t="s">
        <v>920</v>
      </c>
      <c r="DQ127" s="58">
        <v>79</v>
      </c>
      <c r="DR127" s="58">
        <v>121</v>
      </c>
      <c r="DS127" s="58">
        <v>91</v>
      </c>
      <c r="DT127" s="58" t="s">
        <v>920</v>
      </c>
      <c r="DU127" s="58">
        <v>111</v>
      </c>
      <c r="DV127" s="58">
        <v>95</v>
      </c>
      <c r="DW127" s="58">
        <v>72</v>
      </c>
      <c r="DX127" s="58" t="s">
        <v>920</v>
      </c>
      <c r="DY127" s="58">
        <v>107</v>
      </c>
      <c r="DZ127" s="58">
        <v>64</v>
      </c>
      <c r="EA127" s="58">
        <v>117</v>
      </c>
      <c r="EB127" s="58">
        <v>100</v>
      </c>
      <c r="EC127" s="58">
        <v>104</v>
      </c>
      <c r="ED127" s="58">
        <v>51</v>
      </c>
      <c r="EE127" s="58" t="s">
        <v>920</v>
      </c>
      <c r="EF127" s="58">
        <v>101</v>
      </c>
      <c r="EG127" s="58" t="s">
        <v>920</v>
      </c>
      <c r="EH127" s="58">
        <v>89</v>
      </c>
      <c r="EI127" s="58">
        <v>107</v>
      </c>
      <c r="EJ127" s="58">
        <v>99</v>
      </c>
      <c r="EK127" s="58">
        <v>70</v>
      </c>
      <c r="EL127" s="58">
        <v>116</v>
      </c>
      <c r="EM127" s="58">
        <v>120</v>
      </c>
      <c r="EN127" s="58" t="s">
        <v>920</v>
      </c>
      <c r="EO127" s="58">
        <v>72</v>
      </c>
      <c r="EP127" s="58">
        <v>102</v>
      </c>
      <c r="EQ127" s="58">
        <v>115</v>
      </c>
    </row>
    <row r="128" spans="1:147" x14ac:dyDescent="0.45">
      <c r="A128" t="s">
        <v>132</v>
      </c>
      <c r="B128" s="59" t="s">
        <v>416</v>
      </c>
      <c r="C128" s="37" t="s">
        <v>25</v>
      </c>
      <c r="D128" s="37" t="s">
        <v>883</v>
      </c>
      <c r="E128" s="104">
        <v>1732.595</v>
      </c>
      <c r="F128" s="104">
        <v>33635000</v>
      </c>
      <c r="G128" s="87">
        <v>25.295789646713139</v>
      </c>
      <c r="H128" s="1" t="s">
        <v>259</v>
      </c>
      <c r="I128" s="58">
        <v>122</v>
      </c>
      <c r="J128" s="87">
        <v>18.590625766418164</v>
      </c>
      <c r="K128" s="87">
        <v>17.242837029963447</v>
      </c>
      <c r="L128" s="87">
        <v>32.227781418341301</v>
      </c>
      <c r="M128" s="87">
        <v>33.121914372129645</v>
      </c>
      <c r="N128" s="58">
        <v>118</v>
      </c>
      <c r="O128" s="58">
        <v>122</v>
      </c>
      <c r="P128" s="58">
        <v>121</v>
      </c>
      <c r="Q128" s="58">
        <v>122</v>
      </c>
      <c r="R128" s="58">
        <v>31.031517139274865</v>
      </c>
      <c r="S128" s="58">
        <v>11.013071423807828</v>
      </c>
      <c r="T128" s="58">
        <v>13.727288736171801</v>
      </c>
      <c r="U128" s="58">
        <v>16.866575613240908</v>
      </c>
      <c r="V128" s="58">
        <v>24.162794423400371</v>
      </c>
      <c r="W128" s="58">
        <v>10.699141053249059</v>
      </c>
      <c r="X128" s="58">
        <v>28.614636109491688</v>
      </c>
      <c r="Y128" s="58">
        <v>47.195726489612099</v>
      </c>
      <c r="Z128" s="58">
        <v>20.87298165592011</v>
      </c>
      <c r="AA128" s="58">
        <v>16.937148593718366</v>
      </c>
      <c r="AB128" s="58">
        <v>47.685588692329766</v>
      </c>
      <c r="AC128" s="58">
        <v>34.743005830340792</v>
      </c>
      <c r="AD128" s="58">
        <v>117</v>
      </c>
      <c r="AE128" s="58">
        <v>113</v>
      </c>
      <c r="AF128" s="58">
        <v>122</v>
      </c>
      <c r="AG128" s="58">
        <v>124</v>
      </c>
      <c r="AH128" s="58">
        <v>89</v>
      </c>
      <c r="AI128" s="58">
        <v>124</v>
      </c>
      <c r="AJ128" s="58">
        <v>114</v>
      </c>
      <c r="AK128" s="58">
        <v>105</v>
      </c>
      <c r="AL128" s="58">
        <v>123</v>
      </c>
      <c r="AM128" s="58">
        <v>121</v>
      </c>
      <c r="AN128" s="58">
        <v>100</v>
      </c>
      <c r="AO128" s="58">
        <v>125</v>
      </c>
      <c r="AP128" s="58">
        <v>27.120388244926701</v>
      </c>
      <c r="AQ128" s="58">
        <v>29.402009231055882</v>
      </c>
      <c r="AR128" s="58">
        <v>14.346484975566318</v>
      </c>
      <c r="AS128" s="58">
        <v>26.315789473684209</v>
      </c>
      <c r="AT128" s="58">
        <v>57.972913771141222</v>
      </c>
      <c r="AU128" s="58" t="s">
        <v>920</v>
      </c>
      <c r="AV128" s="58">
        <v>0.16128835350923809</v>
      </c>
      <c r="AW128" s="58">
        <v>0.14179808771999497</v>
      </c>
      <c r="AX128" s="58">
        <v>42.519393883375088</v>
      </c>
      <c r="AY128" s="58">
        <v>1.2298053706269898</v>
      </c>
      <c r="AZ128" s="58" t="s">
        <v>920</v>
      </c>
      <c r="BA128" s="58">
        <v>26</v>
      </c>
      <c r="BB128" s="58" t="s">
        <v>920</v>
      </c>
      <c r="BC128" s="58">
        <v>1.4545774723436009</v>
      </c>
      <c r="BD128" s="58">
        <v>4.8782287589080635</v>
      </c>
      <c r="BE128" s="58" t="s">
        <v>920</v>
      </c>
      <c r="BF128" s="58">
        <v>4.6786972882343587</v>
      </c>
      <c r="BG128" s="58">
        <v>41.042800792580302</v>
      </c>
      <c r="BH128" s="58" t="s">
        <v>920</v>
      </c>
      <c r="BI128" s="58">
        <v>34.101914708837846</v>
      </c>
      <c r="BJ128" s="58" t="s">
        <v>920</v>
      </c>
      <c r="BK128" s="58">
        <v>37.871702889493243</v>
      </c>
      <c r="BL128" s="58">
        <v>0.51476567187002842</v>
      </c>
      <c r="BM128" s="58">
        <v>27.324021607054771</v>
      </c>
      <c r="BN128" s="58">
        <v>0</v>
      </c>
      <c r="BO128" s="58" t="s">
        <v>920</v>
      </c>
      <c r="BP128" s="58">
        <v>4.7734015526924116</v>
      </c>
      <c r="BQ128" s="58">
        <v>26.710981950719091</v>
      </c>
      <c r="BR128" s="58">
        <v>59.228870988290581</v>
      </c>
      <c r="BS128" s="58">
        <v>22.657444566492455</v>
      </c>
      <c r="BT128" s="58">
        <v>5.8612469324646206</v>
      </c>
      <c r="BU128" s="58">
        <v>24.497728646475554</v>
      </c>
      <c r="BV128" s="58">
        <v>44.687499999654293</v>
      </c>
      <c r="BW128" s="58" t="s">
        <v>920</v>
      </c>
      <c r="BX128" s="58">
        <v>50</v>
      </c>
      <c r="BY128" s="58">
        <v>69.597677312318538</v>
      </c>
      <c r="BZ128" s="58">
        <v>15.943715615742699</v>
      </c>
      <c r="CA128" s="58">
        <v>31.324062655819446</v>
      </c>
      <c r="CB128" s="58">
        <v>0</v>
      </c>
      <c r="CC128" s="58">
        <v>36.224148352118299</v>
      </c>
      <c r="CD128" s="58" t="s">
        <v>920</v>
      </c>
      <c r="CE128" s="58">
        <v>38.170660617982669</v>
      </c>
      <c r="CF128" s="58">
        <v>11.692131916411277</v>
      </c>
      <c r="CG128" s="58">
        <v>0.94865324676114438</v>
      </c>
      <c r="CH128" s="58">
        <v>43.1188561215371</v>
      </c>
      <c r="CI128" s="58">
        <v>74.088541666666657</v>
      </c>
      <c r="CJ128" s="58">
        <v>34.183673469387756</v>
      </c>
      <c r="CK128" s="58">
        <v>17.515063108183305</v>
      </c>
      <c r="CL128" s="58">
        <v>20</v>
      </c>
      <c r="CM128" s="58" t="s">
        <v>920</v>
      </c>
      <c r="CN128" s="58">
        <v>74.545454545454547</v>
      </c>
      <c r="CO128" s="58">
        <v>0</v>
      </c>
      <c r="CP128" s="58">
        <v>39.367125891135672</v>
      </c>
      <c r="CQ128" s="58">
        <v>118</v>
      </c>
      <c r="CR128" s="58">
        <v>117</v>
      </c>
      <c r="CS128" s="58">
        <v>104</v>
      </c>
      <c r="CT128" s="58">
        <v>117</v>
      </c>
      <c r="CU128" s="58">
        <v>119</v>
      </c>
      <c r="CV128" s="58" t="s">
        <v>920</v>
      </c>
      <c r="CW128" s="58">
        <v>122</v>
      </c>
      <c r="CX128" s="58">
        <v>120</v>
      </c>
      <c r="CY128" s="58">
        <v>107</v>
      </c>
      <c r="CZ128" s="58">
        <v>94</v>
      </c>
      <c r="DA128" s="58" t="s">
        <v>920</v>
      </c>
      <c r="DB128" s="58">
        <v>104</v>
      </c>
      <c r="DC128" s="58" t="s">
        <v>920</v>
      </c>
      <c r="DD128" s="58">
        <v>117</v>
      </c>
      <c r="DE128" s="58">
        <v>95</v>
      </c>
      <c r="DF128" s="58" t="s">
        <v>920</v>
      </c>
      <c r="DG128" s="58">
        <v>120</v>
      </c>
      <c r="DH128" s="58">
        <v>88</v>
      </c>
      <c r="DI128" s="58" t="s">
        <v>920</v>
      </c>
      <c r="DJ128" s="58">
        <v>91</v>
      </c>
      <c r="DK128" s="58" t="s">
        <v>920</v>
      </c>
      <c r="DL128" s="58">
        <v>77</v>
      </c>
      <c r="DM128" s="58">
        <v>105</v>
      </c>
      <c r="DN128" s="58">
        <v>117</v>
      </c>
      <c r="DO128" s="58">
        <v>93</v>
      </c>
      <c r="DP128" s="58" t="s">
        <v>920</v>
      </c>
      <c r="DQ128" s="58">
        <v>73</v>
      </c>
      <c r="DR128" s="58">
        <v>119</v>
      </c>
      <c r="DS128" s="58">
        <v>96</v>
      </c>
      <c r="DT128" s="58">
        <v>46</v>
      </c>
      <c r="DU128" s="58">
        <v>107</v>
      </c>
      <c r="DV128" s="58">
        <v>109</v>
      </c>
      <c r="DW128" s="58">
        <v>103</v>
      </c>
      <c r="DX128" s="58" t="s">
        <v>920</v>
      </c>
      <c r="DY128" s="58">
        <v>107</v>
      </c>
      <c r="DZ128" s="58">
        <v>51</v>
      </c>
      <c r="EA128" s="58">
        <v>121</v>
      </c>
      <c r="EB128" s="58">
        <v>112</v>
      </c>
      <c r="EC128" s="58">
        <v>104</v>
      </c>
      <c r="ED128" s="58">
        <v>62</v>
      </c>
      <c r="EE128" s="58" t="s">
        <v>920</v>
      </c>
      <c r="EF128" s="58">
        <v>108</v>
      </c>
      <c r="EG128" s="58">
        <v>99</v>
      </c>
      <c r="EH128" s="58">
        <v>124</v>
      </c>
      <c r="EI128" s="58">
        <v>91</v>
      </c>
      <c r="EJ128" s="58">
        <v>59</v>
      </c>
      <c r="EK128" s="58">
        <v>104</v>
      </c>
      <c r="EL128" s="58">
        <v>125</v>
      </c>
      <c r="EM128" s="58">
        <v>114</v>
      </c>
      <c r="EN128" s="58" t="s">
        <v>920</v>
      </c>
      <c r="EO128" s="58">
        <v>72</v>
      </c>
      <c r="EP128" s="58">
        <v>126</v>
      </c>
      <c r="EQ128" s="58">
        <v>97</v>
      </c>
    </row>
    <row r="129" spans="1:147" x14ac:dyDescent="0.45">
      <c r="A129" t="s">
        <v>131</v>
      </c>
      <c r="B129" s="59" t="s">
        <v>415</v>
      </c>
      <c r="C129" s="37" t="s">
        <v>25</v>
      </c>
      <c r="D129" s="37" t="s">
        <v>882</v>
      </c>
      <c r="E129" s="104">
        <v>3089.2930000000001</v>
      </c>
      <c r="F129" s="104">
        <v>2311000</v>
      </c>
      <c r="G129" s="87">
        <v>24.999429141513847</v>
      </c>
      <c r="H129" s="1" t="s">
        <v>258</v>
      </c>
      <c r="I129" s="58">
        <v>123</v>
      </c>
      <c r="J129" s="87">
        <v>12.282287303229067</v>
      </c>
      <c r="K129" s="87">
        <v>21.637725298517807</v>
      </c>
      <c r="L129" s="87">
        <v>40.592888189493259</v>
      </c>
      <c r="M129" s="87">
        <v>25.484815774815257</v>
      </c>
      <c r="N129" s="58">
        <v>126</v>
      </c>
      <c r="O129" s="58">
        <v>119</v>
      </c>
      <c r="P129" s="58">
        <v>107</v>
      </c>
      <c r="Q129" s="58">
        <v>126</v>
      </c>
      <c r="R129" s="58">
        <v>22.050359508074717</v>
      </c>
      <c r="S129" s="58">
        <v>0.47198185270087795</v>
      </c>
      <c r="T129" s="58">
        <v>14.324520548911602</v>
      </c>
      <c r="U129" s="58">
        <v>30.56212926024925</v>
      </c>
      <c r="V129" s="58">
        <v>21.565650437267028</v>
      </c>
      <c r="W129" s="58">
        <v>12.785396198037153</v>
      </c>
      <c r="X129" s="58">
        <v>19.349049623921694</v>
      </c>
      <c r="Y129" s="58">
        <v>34.271788164222585</v>
      </c>
      <c r="Z129" s="58">
        <v>68.157826780335483</v>
      </c>
      <c r="AA129" s="58">
        <v>9.923976612312007</v>
      </c>
      <c r="AB129" s="58">
        <v>27.108605115415248</v>
      </c>
      <c r="AC129" s="58">
        <v>39.421865596718511</v>
      </c>
      <c r="AD129" s="58">
        <v>124</v>
      </c>
      <c r="AE129" s="58">
        <v>126</v>
      </c>
      <c r="AF129" s="58">
        <v>118</v>
      </c>
      <c r="AG129" s="58">
        <v>112</v>
      </c>
      <c r="AH129" s="58">
        <v>101</v>
      </c>
      <c r="AI129" s="58">
        <v>122</v>
      </c>
      <c r="AJ129" s="58">
        <v>122</v>
      </c>
      <c r="AK129" s="58">
        <v>122</v>
      </c>
      <c r="AL129" s="58">
        <v>54</v>
      </c>
      <c r="AM129" s="58">
        <v>127</v>
      </c>
      <c r="AN129" s="58">
        <v>123</v>
      </c>
      <c r="AO129" s="58">
        <v>124</v>
      </c>
      <c r="AP129" s="58">
        <v>23.841081725983901</v>
      </c>
      <c r="AQ129" s="58">
        <v>0</v>
      </c>
      <c r="AR129" s="58">
        <v>8.5159789722844383</v>
      </c>
      <c r="AS129" s="58">
        <v>77.894736842105246</v>
      </c>
      <c r="AT129" s="58">
        <v>0</v>
      </c>
      <c r="AU129" s="58" t="s">
        <v>920</v>
      </c>
      <c r="AV129" s="58">
        <v>1.0655573573197539</v>
      </c>
      <c r="AW129" s="58">
        <v>0.35038820078288002</v>
      </c>
      <c r="AX129" s="58" t="s">
        <v>920</v>
      </c>
      <c r="AY129" s="58">
        <v>0</v>
      </c>
      <c r="AZ129" s="58">
        <v>1.0540289026849368</v>
      </c>
      <c r="BA129" s="58">
        <v>35.750000000000007</v>
      </c>
      <c r="BB129" s="58" t="s">
        <v>920</v>
      </c>
      <c r="BC129" s="58">
        <v>6.1695327440498682</v>
      </c>
      <c r="BD129" s="58">
        <v>0.36399576918166898</v>
      </c>
      <c r="BE129" s="58">
        <v>14.905036755836152</v>
      </c>
      <c r="BF129" s="58">
        <v>21.666022038515315</v>
      </c>
      <c r="BG129" s="58">
        <v>85.313462477463858</v>
      </c>
      <c r="BH129" s="58" t="s">
        <v>920</v>
      </c>
      <c r="BI129" s="58">
        <v>44.900854366636501</v>
      </c>
      <c r="BJ129" s="58" t="s">
        <v>920</v>
      </c>
      <c r="BK129" s="58">
        <v>19.796096945164578</v>
      </c>
      <c r="BL129" s="58">
        <v>0</v>
      </c>
      <c r="BM129" s="58">
        <v>14.145643098615274</v>
      </c>
      <c r="BN129" s="58" t="s">
        <v>920</v>
      </c>
      <c r="BO129" s="58">
        <v>23.492568922399876</v>
      </c>
      <c r="BP129" s="58">
        <v>0.71797657309630858</v>
      </c>
      <c r="BQ129" s="58">
        <v>34.923283103132349</v>
      </c>
      <c r="BR129" s="58">
        <v>16.596327332370066</v>
      </c>
      <c r="BS129" s="58">
        <v>20.020117364521106</v>
      </c>
      <c r="BT129" s="58">
        <v>5.8564706956632602</v>
      </c>
      <c r="BU129" s="58">
        <v>27.460116399596536</v>
      </c>
      <c r="BV129" s="58">
        <v>44.687499999654293</v>
      </c>
      <c r="BW129" s="58">
        <v>9.487143584035449</v>
      </c>
      <c r="BX129" s="58">
        <v>25</v>
      </c>
      <c r="BY129" s="58">
        <v>64.724180837826623</v>
      </c>
      <c r="BZ129" s="58">
        <v>15.943715615742699</v>
      </c>
      <c r="CA129" s="58">
        <v>77.338334923209189</v>
      </c>
      <c r="CB129" s="58">
        <v>100</v>
      </c>
      <c r="CC129" s="58">
        <v>79.349256582390012</v>
      </c>
      <c r="CD129" s="58" t="s">
        <v>920</v>
      </c>
      <c r="CE129" s="58">
        <v>7.60248624291133</v>
      </c>
      <c r="CF129" s="58">
        <v>22.169443594024692</v>
      </c>
      <c r="CG129" s="58">
        <v>0</v>
      </c>
      <c r="CH129" s="58">
        <v>11.103663985701527</v>
      </c>
      <c r="CI129" s="58">
        <v>47.135416666666664</v>
      </c>
      <c r="CJ129" s="58">
        <v>46.173469387755105</v>
      </c>
      <c r="CK129" s="58">
        <v>0</v>
      </c>
      <c r="CL129" s="58">
        <v>40</v>
      </c>
      <c r="CM129" s="58" t="s">
        <v>920</v>
      </c>
      <c r="CN129" s="58">
        <v>71.818181818181813</v>
      </c>
      <c r="CO129" s="58">
        <v>18.514531754574818</v>
      </c>
      <c r="CP129" s="58">
        <v>15.865766434797806</v>
      </c>
      <c r="CQ129" s="58">
        <v>119</v>
      </c>
      <c r="CR129" s="58">
        <v>127</v>
      </c>
      <c r="CS129" s="58">
        <v>113</v>
      </c>
      <c r="CT129" s="58">
        <v>96</v>
      </c>
      <c r="CU129" s="58">
        <v>127</v>
      </c>
      <c r="CV129" s="58" t="s">
        <v>920</v>
      </c>
      <c r="CW129" s="58">
        <v>108</v>
      </c>
      <c r="CX129" s="58">
        <v>110</v>
      </c>
      <c r="CY129" s="58" t="s">
        <v>920</v>
      </c>
      <c r="CZ129" s="58">
        <v>124</v>
      </c>
      <c r="DA129" s="58">
        <v>104</v>
      </c>
      <c r="DB129" s="58">
        <v>75</v>
      </c>
      <c r="DC129" s="58" t="s">
        <v>920</v>
      </c>
      <c r="DD129" s="58">
        <v>93</v>
      </c>
      <c r="DE129" s="58">
        <v>121</v>
      </c>
      <c r="DF129" s="58">
        <v>110</v>
      </c>
      <c r="DG129" s="58">
        <v>104</v>
      </c>
      <c r="DH129" s="58">
        <v>59</v>
      </c>
      <c r="DI129" s="58" t="s">
        <v>920</v>
      </c>
      <c r="DJ129" s="58">
        <v>72</v>
      </c>
      <c r="DK129" s="58" t="s">
        <v>920</v>
      </c>
      <c r="DL129" s="58">
        <v>115</v>
      </c>
      <c r="DM129" s="58">
        <v>121</v>
      </c>
      <c r="DN129" s="58">
        <v>125</v>
      </c>
      <c r="DO129" s="58" t="s">
        <v>920</v>
      </c>
      <c r="DP129" s="58">
        <v>91</v>
      </c>
      <c r="DQ129" s="58">
        <v>103</v>
      </c>
      <c r="DR129" s="58">
        <v>109</v>
      </c>
      <c r="DS129" s="58">
        <v>122</v>
      </c>
      <c r="DT129" s="58">
        <v>47</v>
      </c>
      <c r="DU129" s="58">
        <v>108</v>
      </c>
      <c r="DV129" s="58">
        <v>102</v>
      </c>
      <c r="DW129" s="58">
        <v>103</v>
      </c>
      <c r="DX129" s="58">
        <v>108</v>
      </c>
      <c r="DY129" s="58">
        <v>124</v>
      </c>
      <c r="DZ129" s="58">
        <v>57</v>
      </c>
      <c r="EA129" s="58">
        <v>121</v>
      </c>
      <c r="EB129" s="58">
        <v>54</v>
      </c>
      <c r="EC129" s="58">
        <v>1</v>
      </c>
      <c r="ED129" s="58">
        <v>15</v>
      </c>
      <c r="EE129" s="58" t="s">
        <v>920</v>
      </c>
      <c r="EF129" s="58">
        <v>126</v>
      </c>
      <c r="EG129" s="58">
        <v>92</v>
      </c>
      <c r="EH129" s="58">
        <v>127</v>
      </c>
      <c r="EI129" s="58">
        <v>122</v>
      </c>
      <c r="EJ129" s="58">
        <v>110</v>
      </c>
      <c r="EK129" s="58">
        <v>98</v>
      </c>
      <c r="EL129" s="58">
        <v>126</v>
      </c>
      <c r="EM129" s="58">
        <v>104</v>
      </c>
      <c r="EN129" s="58" t="s">
        <v>920</v>
      </c>
      <c r="EO129" s="58">
        <v>81</v>
      </c>
      <c r="EP129" s="58">
        <v>122</v>
      </c>
      <c r="EQ129" s="58">
        <v>122</v>
      </c>
    </row>
    <row r="130" spans="1:147" x14ac:dyDescent="0.45">
      <c r="A130" t="s">
        <v>129</v>
      </c>
      <c r="B130" s="59" t="s">
        <v>411</v>
      </c>
      <c r="C130" s="37" t="s">
        <v>25</v>
      </c>
      <c r="D130" s="37" t="s">
        <v>883</v>
      </c>
      <c r="E130" s="104">
        <v>2039.7239999999999</v>
      </c>
      <c r="F130" s="104">
        <v>31196000</v>
      </c>
      <c r="G130" s="87">
        <v>23.561150609893417</v>
      </c>
      <c r="H130" s="1" t="s">
        <v>256</v>
      </c>
      <c r="I130" s="58">
        <v>124</v>
      </c>
      <c r="J130" s="87">
        <v>13.685922597786451</v>
      </c>
      <c r="K130" s="87">
        <v>18.470351622943454</v>
      </c>
      <c r="L130" s="87">
        <v>30.967914725610825</v>
      </c>
      <c r="M130" s="87">
        <v>31.120413493232931</v>
      </c>
      <c r="N130" s="58">
        <v>124</v>
      </c>
      <c r="O130" s="58">
        <v>120</v>
      </c>
      <c r="P130" s="58">
        <v>122</v>
      </c>
      <c r="Q130" s="58">
        <v>125</v>
      </c>
      <c r="R130" s="58">
        <v>22.757034250332385</v>
      </c>
      <c r="S130" s="58">
        <v>0.49555173287533777</v>
      </c>
      <c r="T130" s="58">
        <v>17.80518181015163</v>
      </c>
      <c r="U130" s="58">
        <v>23.658795011813908</v>
      </c>
      <c r="V130" s="58">
        <v>17.518064945327588</v>
      </c>
      <c r="W130" s="58">
        <v>14.234194911688869</v>
      </c>
      <c r="X130" s="58">
        <v>13.738727630787183</v>
      </c>
      <c r="Y130" s="58">
        <v>53.97329291196499</v>
      </c>
      <c r="Z130" s="58">
        <v>25.191723634080308</v>
      </c>
      <c r="AA130" s="58">
        <v>35.827173609743305</v>
      </c>
      <c r="AB130" s="58">
        <v>25.936261762955144</v>
      </c>
      <c r="AC130" s="58">
        <v>31.59780510700034</v>
      </c>
      <c r="AD130" s="58">
        <v>123</v>
      </c>
      <c r="AE130" s="58">
        <v>125</v>
      </c>
      <c r="AF130" s="58">
        <v>114</v>
      </c>
      <c r="AG130" s="58">
        <v>119</v>
      </c>
      <c r="AH130" s="58">
        <v>115</v>
      </c>
      <c r="AI130" s="58">
        <v>121</v>
      </c>
      <c r="AJ130" s="58">
        <v>126</v>
      </c>
      <c r="AK130" s="58">
        <v>81</v>
      </c>
      <c r="AL130" s="58">
        <v>121</v>
      </c>
      <c r="AM130" s="58">
        <v>52</v>
      </c>
      <c r="AN130" s="58">
        <v>124</v>
      </c>
      <c r="AO130" s="58">
        <v>126</v>
      </c>
      <c r="AP130" s="58">
        <v>15.087118108588299</v>
      </c>
      <c r="AQ130" s="58">
        <v>33.326481583794774</v>
      </c>
      <c r="AR130" s="58">
        <v>28.185628341077702</v>
      </c>
      <c r="AS130" s="58">
        <v>0</v>
      </c>
      <c r="AT130" s="58">
        <v>59.819256173382819</v>
      </c>
      <c r="AU130" s="58">
        <v>0.12372129515072799</v>
      </c>
      <c r="AV130" s="58">
        <v>0.84852456458181602</v>
      </c>
      <c r="AW130" s="58">
        <v>9.2994799147237545E-2</v>
      </c>
      <c r="AX130" s="58">
        <v>0</v>
      </c>
      <c r="AY130" s="58">
        <v>1.0406875677722975</v>
      </c>
      <c r="AZ130" s="58" t="s">
        <v>920</v>
      </c>
      <c r="BA130" s="58">
        <v>33.75</v>
      </c>
      <c r="BB130" s="58" t="s">
        <v>920</v>
      </c>
      <c r="BC130" s="58">
        <v>1.8603636203032625</v>
      </c>
      <c r="BD130" s="58">
        <v>2.9706891538747571</v>
      </c>
      <c r="BE130" s="58" t="s">
        <v>920</v>
      </c>
      <c r="BF130" s="58">
        <v>6.9500928542232803</v>
      </c>
      <c r="BG130" s="58">
        <v>61.055603027343693</v>
      </c>
      <c r="BH130" s="58" t="s">
        <v>920</v>
      </c>
      <c r="BI130" s="58">
        <v>17.050957354418923</v>
      </c>
      <c r="BJ130" s="58" t="s">
        <v>920</v>
      </c>
      <c r="BK130" s="58">
        <v>35.12786128735533</v>
      </c>
      <c r="BL130" s="58">
        <v>0.37537619420850971</v>
      </c>
      <c r="BM130" s="58">
        <v>28.353845598585192</v>
      </c>
      <c r="BN130" s="58" t="s">
        <v>920</v>
      </c>
      <c r="BO130" s="58" t="s">
        <v>920</v>
      </c>
      <c r="BP130" s="58">
        <v>0.11454422479254441</v>
      </c>
      <c r="BQ130" s="58">
        <v>22.05163722616313</v>
      </c>
      <c r="BR130" s="58">
        <v>17.943362800676809</v>
      </c>
      <c r="BS130" s="58" t="s">
        <v>920</v>
      </c>
      <c r="BT130" s="58">
        <v>1.2211828655216102</v>
      </c>
      <c r="BU130" s="58">
        <v>22.22003290910498</v>
      </c>
      <c r="BV130" s="58">
        <v>42.812499999642576</v>
      </c>
      <c r="BW130" s="58" t="s">
        <v>920</v>
      </c>
      <c r="BX130" s="58">
        <v>75</v>
      </c>
      <c r="BY130" s="58">
        <v>75.860638739112403</v>
      </c>
      <c r="BZ130" s="58">
        <v>26.089716462124418</v>
      </c>
      <c r="CA130" s="58">
        <v>6.8462281757565098</v>
      </c>
      <c r="CB130" s="58" t="s">
        <v>920</v>
      </c>
      <c r="CC130" s="58">
        <v>42.639226264360005</v>
      </c>
      <c r="CD130" s="58" t="s">
        <v>920</v>
      </c>
      <c r="CE130" s="58">
        <v>38.270736557395686</v>
      </c>
      <c r="CF130" s="58" t="s">
        <v>920</v>
      </c>
      <c r="CG130" s="58">
        <v>33.383610662090923</v>
      </c>
      <c r="CH130" s="58">
        <v>20.040214477211801</v>
      </c>
      <c r="CI130" s="58">
        <v>6.2499999999999982</v>
      </c>
      <c r="CJ130" s="58">
        <v>66.83673469387756</v>
      </c>
      <c r="CK130" s="58">
        <v>36.200406929429732</v>
      </c>
      <c r="CL130" s="58">
        <v>0</v>
      </c>
      <c r="CM130" s="58" t="s">
        <v>920</v>
      </c>
      <c r="CN130" s="58">
        <v>55.454545454545453</v>
      </c>
      <c r="CO130" s="58">
        <v>22.389666307857908</v>
      </c>
      <c r="CP130" s="58">
        <v>33.898407117195305</v>
      </c>
      <c r="CQ130" s="58">
        <v>125</v>
      </c>
      <c r="CR130" s="58">
        <v>110</v>
      </c>
      <c r="CS130" s="58">
        <v>74</v>
      </c>
      <c r="CT130" s="58">
        <v>121</v>
      </c>
      <c r="CU130" s="58">
        <v>117</v>
      </c>
      <c r="CV130" s="58">
        <v>87</v>
      </c>
      <c r="CW130" s="58">
        <v>113</v>
      </c>
      <c r="CX130" s="58">
        <v>122</v>
      </c>
      <c r="CY130" s="58">
        <v>120</v>
      </c>
      <c r="CZ130" s="58">
        <v>95</v>
      </c>
      <c r="DA130" s="58" t="s">
        <v>920</v>
      </c>
      <c r="DB130" s="58">
        <v>84</v>
      </c>
      <c r="DC130" s="58" t="s">
        <v>920</v>
      </c>
      <c r="DD130" s="58">
        <v>114</v>
      </c>
      <c r="DE130" s="58">
        <v>107</v>
      </c>
      <c r="DF130" s="58" t="s">
        <v>920</v>
      </c>
      <c r="DG130" s="58">
        <v>119</v>
      </c>
      <c r="DH130" s="58">
        <v>79</v>
      </c>
      <c r="DI130" s="58" t="s">
        <v>920</v>
      </c>
      <c r="DJ130" s="58">
        <v>106</v>
      </c>
      <c r="DK130" s="58" t="s">
        <v>920</v>
      </c>
      <c r="DL130" s="58">
        <v>92</v>
      </c>
      <c r="DM130" s="58">
        <v>110</v>
      </c>
      <c r="DN130" s="58">
        <v>113</v>
      </c>
      <c r="DO130" s="58" t="s">
        <v>920</v>
      </c>
      <c r="DP130" s="58" t="s">
        <v>920</v>
      </c>
      <c r="DQ130" s="58">
        <v>106</v>
      </c>
      <c r="DR130" s="58">
        <v>123</v>
      </c>
      <c r="DS130" s="58">
        <v>121</v>
      </c>
      <c r="DT130" s="58" t="s">
        <v>920</v>
      </c>
      <c r="DU130" s="58">
        <v>117</v>
      </c>
      <c r="DV130" s="58">
        <v>113</v>
      </c>
      <c r="DW130" s="58">
        <v>107</v>
      </c>
      <c r="DX130" s="58" t="s">
        <v>920</v>
      </c>
      <c r="DY130" s="58">
        <v>72</v>
      </c>
      <c r="DZ130" s="58">
        <v>40</v>
      </c>
      <c r="EA130" s="58">
        <v>107</v>
      </c>
      <c r="EB130" s="58">
        <v>121</v>
      </c>
      <c r="EC130" s="58" t="s">
        <v>920</v>
      </c>
      <c r="ED130" s="58">
        <v>58</v>
      </c>
      <c r="EE130" s="58" t="s">
        <v>920</v>
      </c>
      <c r="EF130" s="58">
        <v>106</v>
      </c>
      <c r="EG130" s="58" t="s">
        <v>920</v>
      </c>
      <c r="EH130" s="58">
        <v>28</v>
      </c>
      <c r="EI130" s="58">
        <v>113</v>
      </c>
      <c r="EJ130" s="58">
        <v>123</v>
      </c>
      <c r="EK130" s="58">
        <v>68</v>
      </c>
      <c r="EL130" s="58">
        <v>113</v>
      </c>
      <c r="EM130" s="58">
        <v>125</v>
      </c>
      <c r="EN130" s="58" t="s">
        <v>920</v>
      </c>
      <c r="EO130" s="58">
        <v>109</v>
      </c>
      <c r="EP130" s="58">
        <v>120</v>
      </c>
      <c r="EQ130" s="58">
        <v>107</v>
      </c>
    </row>
    <row r="131" spans="1:147" x14ac:dyDescent="0.45">
      <c r="A131" t="s">
        <v>133</v>
      </c>
      <c r="B131" s="59" t="s">
        <v>417</v>
      </c>
      <c r="C131" s="37" t="s">
        <v>25</v>
      </c>
      <c r="D131" s="37" t="s">
        <v>882</v>
      </c>
      <c r="E131" s="104">
        <v>10216.557000000001</v>
      </c>
      <c r="F131" s="104">
        <v>36750000</v>
      </c>
      <c r="G131" s="87">
        <v>23.165481572279646</v>
      </c>
      <c r="H131" s="1" t="s">
        <v>260</v>
      </c>
      <c r="I131" s="58">
        <v>125</v>
      </c>
      <c r="J131" s="87">
        <v>16.910146278227707</v>
      </c>
      <c r="K131" s="87">
        <v>15.604809176898122</v>
      </c>
      <c r="L131" s="87">
        <v>26.45701785067217</v>
      </c>
      <c r="M131" s="87">
        <v>33.689952983320573</v>
      </c>
      <c r="N131" s="58">
        <v>120</v>
      </c>
      <c r="O131" s="58">
        <v>124</v>
      </c>
      <c r="P131" s="58">
        <v>123</v>
      </c>
      <c r="Q131" s="58">
        <v>121</v>
      </c>
      <c r="R131" s="58">
        <v>33.020763814805974</v>
      </c>
      <c r="S131" s="58">
        <v>7.1377202157428279</v>
      </c>
      <c r="T131" s="58">
        <v>10.571954804134315</v>
      </c>
      <c r="U131" s="58">
        <v>15.544730062686519</v>
      </c>
      <c r="V131" s="58">
        <v>22.405269928682944</v>
      </c>
      <c r="W131" s="58">
        <v>8.8644275393249004</v>
      </c>
      <c r="X131" s="58">
        <v>28.481660483177237</v>
      </c>
      <c r="Y131" s="58">
        <v>42.1928209147978</v>
      </c>
      <c r="Z131" s="58">
        <v>8.6965721540414727</v>
      </c>
      <c r="AA131" s="58">
        <v>19.014214150830909</v>
      </c>
      <c r="AB131" s="58">
        <v>21.303197438283036</v>
      </c>
      <c r="AC131" s="58">
        <v>60.752447360847775</v>
      </c>
      <c r="AD131" s="58">
        <v>116</v>
      </c>
      <c r="AE131" s="58">
        <v>118</v>
      </c>
      <c r="AF131" s="58">
        <v>126</v>
      </c>
      <c r="AG131" s="58">
        <v>125</v>
      </c>
      <c r="AH131" s="58">
        <v>99</v>
      </c>
      <c r="AI131" s="58">
        <v>126</v>
      </c>
      <c r="AJ131" s="58">
        <v>115</v>
      </c>
      <c r="AK131" s="58">
        <v>110</v>
      </c>
      <c r="AL131" s="58">
        <v>126</v>
      </c>
      <c r="AM131" s="58">
        <v>114</v>
      </c>
      <c r="AN131" s="58">
        <v>127</v>
      </c>
      <c r="AO131" s="58">
        <v>75</v>
      </c>
      <c r="AP131" s="58">
        <v>46.8338405113373</v>
      </c>
      <c r="AQ131" s="58">
        <v>33.37986999795735</v>
      </c>
      <c r="AR131" s="58">
        <v>24.791997484137536</v>
      </c>
      <c r="AS131" s="58">
        <v>24.526315789473667</v>
      </c>
      <c r="AT131" s="58">
        <v>65.892279154834384</v>
      </c>
      <c r="AU131" s="58">
        <v>2.7002799510955802</v>
      </c>
      <c r="AV131" s="58">
        <v>0.28137170764371733</v>
      </c>
      <c r="AW131" s="58">
        <v>8.7987138563188891E-2</v>
      </c>
      <c r="AX131" s="58">
        <v>28.181522016764404</v>
      </c>
      <c r="AY131" s="58">
        <v>0</v>
      </c>
      <c r="AZ131" s="58">
        <v>19.225703443222429</v>
      </c>
      <c r="BA131" s="58">
        <v>0</v>
      </c>
      <c r="BB131" s="58" t="s">
        <v>920</v>
      </c>
      <c r="BC131" s="58">
        <v>12.490160969180513</v>
      </c>
      <c r="BD131" s="58">
        <v>6.1311130434193748</v>
      </c>
      <c r="BE131" s="58">
        <v>0</v>
      </c>
      <c r="BF131" s="58">
        <v>7.9926337735828437</v>
      </c>
      <c r="BG131" s="58">
        <v>48.055173433743853</v>
      </c>
      <c r="BH131" s="58" t="s">
        <v>920</v>
      </c>
      <c r="BI131" s="58">
        <v>29.213973600571091</v>
      </c>
      <c r="BJ131" s="58" t="s">
        <v>920</v>
      </c>
      <c r="BK131" s="58">
        <v>35.861742166600841</v>
      </c>
      <c r="BL131" s="58">
        <v>2.1400940188769115</v>
      </c>
      <c r="BM131" s="58">
        <v>27.363722765606763</v>
      </c>
      <c r="BN131" s="58">
        <v>3.1074749131316324</v>
      </c>
      <c r="BO131" s="58">
        <v>4.563785606464549</v>
      </c>
      <c r="BP131" s="58">
        <v>0.42272687209666232</v>
      </c>
      <c r="BQ131" s="58">
        <v>29.48961701740599</v>
      </c>
      <c r="BR131" s="58">
        <v>27.473703948948486</v>
      </c>
      <c r="BS131" s="58" t="s">
        <v>920</v>
      </c>
      <c r="BT131" s="58" t="s">
        <v>920</v>
      </c>
      <c r="BU131" s="58">
        <v>23.174932734058714</v>
      </c>
      <c r="BV131" s="58">
        <v>54.374999999777337</v>
      </c>
      <c r="BW131" s="58">
        <v>0.8032220267975182</v>
      </c>
      <c r="BX131" s="58">
        <v>75</v>
      </c>
      <c r="BY131" s="58">
        <v>57.610949813355447</v>
      </c>
      <c r="BZ131" s="58">
        <v>17.393144308082945</v>
      </c>
      <c r="CA131" s="58">
        <v>0</v>
      </c>
      <c r="CB131" s="58" t="s">
        <v>920</v>
      </c>
      <c r="CC131" s="58" t="s">
        <v>920</v>
      </c>
      <c r="CD131" s="58" t="s">
        <v>920</v>
      </c>
      <c r="CE131" s="58">
        <v>56.21267894277738</v>
      </c>
      <c r="CF131" s="58">
        <v>0</v>
      </c>
      <c r="CG131" s="58">
        <v>0.82996350971534694</v>
      </c>
      <c r="CH131" s="58">
        <v>11.952636282394998</v>
      </c>
      <c r="CI131" s="58" t="s">
        <v>920</v>
      </c>
      <c r="CJ131" s="58">
        <v>29.846938775510225</v>
      </c>
      <c r="CK131" s="58">
        <v>31.460578412831918</v>
      </c>
      <c r="CL131" s="58">
        <v>4.4444444444444446</v>
      </c>
      <c r="CM131" s="58" t="s">
        <v>920</v>
      </c>
      <c r="CN131" s="58">
        <v>70</v>
      </c>
      <c r="CO131" s="58">
        <v>88.159311087190531</v>
      </c>
      <c r="CP131" s="58">
        <v>43.751617546261102</v>
      </c>
      <c r="CQ131" s="58">
        <v>103</v>
      </c>
      <c r="CR131" s="58">
        <v>109</v>
      </c>
      <c r="CS131" s="58">
        <v>83</v>
      </c>
      <c r="CT131" s="58">
        <v>118</v>
      </c>
      <c r="CU131" s="58">
        <v>97</v>
      </c>
      <c r="CV131" s="58">
        <v>84</v>
      </c>
      <c r="CW131" s="58">
        <v>121</v>
      </c>
      <c r="CX131" s="58">
        <v>124</v>
      </c>
      <c r="CY131" s="58">
        <v>117</v>
      </c>
      <c r="CZ131" s="58">
        <v>124</v>
      </c>
      <c r="DA131" s="58">
        <v>103</v>
      </c>
      <c r="DB131" s="58">
        <v>125</v>
      </c>
      <c r="DC131" s="58" t="s">
        <v>920</v>
      </c>
      <c r="DD131" s="58">
        <v>76</v>
      </c>
      <c r="DE131" s="58">
        <v>90</v>
      </c>
      <c r="DF131" s="58">
        <v>112</v>
      </c>
      <c r="DG131" s="58">
        <v>116</v>
      </c>
      <c r="DH131" s="58">
        <v>86</v>
      </c>
      <c r="DI131" s="58" t="s">
        <v>920</v>
      </c>
      <c r="DJ131" s="58">
        <v>97</v>
      </c>
      <c r="DK131" s="58" t="s">
        <v>920</v>
      </c>
      <c r="DL131" s="58">
        <v>85</v>
      </c>
      <c r="DM131" s="58">
        <v>79</v>
      </c>
      <c r="DN131" s="58">
        <v>116</v>
      </c>
      <c r="DO131" s="58">
        <v>92</v>
      </c>
      <c r="DP131" s="58">
        <v>108</v>
      </c>
      <c r="DQ131" s="58">
        <v>105</v>
      </c>
      <c r="DR131" s="58">
        <v>118</v>
      </c>
      <c r="DS131" s="58">
        <v>114</v>
      </c>
      <c r="DT131" s="58" t="s">
        <v>920</v>
      </c>
      <c r="DU131" s="58" t="s">
        <v>920</v>
      </c>
      <c r="DV131" s="58">
        <v>111</v>
      </c>
      <c r="DW131" s="58">
        <v>89</v>
      </c>
      <c r="DX131" s="58">
        <v>114</v>
      </c>
      <c r="DY131" s="58">
        <v>72</v>
      </c>
      <c r="DZ131" s="58">
        <v>77</v>
      </c>
      <c r="EA131" s="58">
        <v>117</v>
      </c>
      <c r="EB131" s="58">
        <v>124</v>
      </c>
      <c r="EC131" s="58" t="s">
        <v>920</v>
      </c>
      <c r="ED131" s="58" t="s">
        <v>920</v>
      </c>
      <c r="EE131" s="58" t="s">
        <v>920</v>
      </c>
      <c r="EF131" s="58">
        <v>58</v>
      </c>
      <c r="EG131" s="58">
        <v>105</v>
      </c>
      <c r="EH131" s="58">
        <v>125</v>
      </c>
      <c r="EI131" s="58">
        <v>120</v>
      </c>
      <c r="EJ131" s="58" t="s">
        <v>920</v>
      </c>
      <c r="EK131" s="58">
        <v>107</v>
      </c>
      <c r="EL131" s="58">
        <v>118</v>
      </c>
      <c r="EM131" s="58">
        <v>124</v>
      </c>
      <c r="EN131" s="58" t="s">
        <v>920</v>
      </c>
      <c r="EO131" s="58">
        <v>88</v>
      </c>
      <c r="EP131" s="58">
        <v>18</v>
      </c>
      <c r="EQ131" s="58">
        <v>88</v>
      </c>
    </row>
    <row r="132" spans="1:147" x14ac:dyDescent="0.45">
      <c r="A132" t="s">
        <v>598</v>
      </c>
      <c r="B132" s="59" t="s">
        <v>601</v>
      </c>
      <c r="C132" s="37" t="s">
        <v>29</v>
      </c>
      <c r="D132" s="37" t="s">
        <v>882</v>
      </c>
      <c r="E132" s="104">
        <v>8774.9439999999995</v>
      </c>
      <c r="F132" s="104">
        <v>5022000</v>
      </c>
      <c r="G132" s="87">
        <v>23.030420238854425</v>
      </c>
      <c r="H132" s="1" t="s">
        <v>605</v>
      </c>
      <c r="I132" s="58">
        <v>126</v>
      </c>
      <c r="J132" s="87">
        <v>21.361487324725001</v>
      </c>
      <c r="K132" s="87">
        <v>14.510903878004276</v>
      </c>
      <c r="L132" s="87">
        <v>23.329580769836628</v>
      </c>
      <c r="M132" s="87">
        <v>32.919708982851809</v>
      </c>
      <c r="N132" s="58">
        <v>117</v>
      </c>
      <c r="O132" s="58">
        <v>125</v>
      </c>
      <c r="P132" s="58">
        <v>126</v>
      </c>
      <c r="Q132" s="58">
        <v>123</v>
      </c>
      <c r="R132" s="58">
        <v>29.068616730482418</v>
      </c>
      <c r="S132" s="58">
        <v>9.3083631138412564</v>
      </c>
      <c r="T132" s="58">
        <v>25.707482129851329</v>
      </c>
      <c r="U132" s="58">
        <v>20.83161146552624</v>
      </c>
      <c r="V132" s="58">
        <v>22.664016069833881</v>
      </c>
      <c r="W132" s="58">
        <v>3.7084098652706649E-2</v>
      </c>
      <c r="X132" s="58">
        <v>22.409993643865995</v>
      </c>
      <c r="Y132" s="58">
        <v>21.410327055138438</v>
      </c>
      <c r="Z132" s="58">
        <v>26.168421610505462</v>
      </c>
      <c r="AA132" s="58">
        <v>17.234551996604377</v>
      </c>
      <c r="AB132" s="58">
        <v>40.894906843025538</v>
      </c>
      <c r="AC132" s="58">
        <v>40.629668108925522</v>
      </c>
      <c r="AD132" s="58">
        <v>122</v>
      </c>
      <c r="AE132" s="58">
        <v>117</v>
      </c>
      <c r="AF132" s="58">
        <v>97</v>
      </c>
      <c r="AG132" s="58">
        <v>121</v>
      </c>
      <c r="AH132" s="58">
        <v>98</v>
      </c>
      <c r="AI132" s="58">
        <v>127</v>
      </c>
      <c r="AJ132" s="58">
        <v>121</v>
      </c>
      <c r="AK132" s="58">
        <v>126</v>
      </c>
      <c r="AL132" s="58">
        <v>120</v>
      </c>
      <c r="AM132" s="58">
        <v>119</v>
      </c>
      <c r="AN132" s="58">
        <v>114</v>
      </c>
      <c r="AO132" s="58">
        <v>123</v>
      </c>
      <c r="AP132" s="58">
        <v>37.111198431197003</v>
      </c>
      <c r="AQ132" s="58">
        <v>41.684993804200033</v>
      </c>
      <c r="AR132" s="58" t="s">
        <v>920</v>
      </c>
      <c r="AS132" s="58">
        <v>0</v>
      </c>
      <c r="AT132" s="58">
        <v>37.478274686532643</v>
      </c>
      <c r="AU132" s="58" t="s">
        <v>920</v>
      </c>
      <c r="AV132" s="58">
        <v>0.3836720922804272</v>
      </c>
      <c r="AW132" s="58">
        <v>0.14491705682471959</v>
      </c>
      <c r="AX132" s="58">
        <v>36.622968529041742</v>
      </c>
      <c r="AY132" s="58">
        <v>8.1894777218140286E-2</v>
      </c>
      <c r="AZ132" s="58" t="s">
        <v>920</v>
      </c>
      <c r="BA132" s="58">
        <v>41.25</v>
      </c>
      <c r="BB132" s="58" t="s">
        <v>920</v>
      </c>
      <c r="BC132" s="58">
        <v>10.164964259702661</v>
      </c>
      <c r="BD132" s="58">
        <v>4.5736411521273705</v>
      </c>
      <c r="BE132" s="58" t="s">
        <v>920</v>
      </c>
      <c r="BF132" s="58">
        <v>20.183255904081818</v>
      </c>
      <c r="BG132" s="58">
        <v>37.737937340369534</v>
      </c>
      <c r="BH132" s="58" t="s">
        <v>920</v>
      </c>
      <c r="BI132" s="58">
        <v>34.442933855926228</v>
      </c>
      <c r="BJ132" s="58" t="s">
        <v>920</v>
      </c>
      <c r="BK132" s="58">
        <v>33.313723217737873</v>
      </c>
      <c r="BL132" s="58">
        <v>0.23539113583754709</v>
      </c>
      <c r="BM132" s="58">
        <v>0</v>
      </c>
      <c r="BN132" s="58" t="s">
        <v>920</v>
      </c>
      <c r="BO132" s="58" t="s">
        <v>920</v>
      </c>
      <c r="BP132" s="58">
        <v>7.4168197305413297E-2</v>
      </c>
      <c r="BQ132" s="58">
        <v>30.224407564120821</v>
      </c>
      <c r="BR132" s="58">
        <v>27.104035030508598</v>
      </c>
      <c r="BS132" s="58">
        <v>25.540874863740971</v>
      </c>
      <c r="BT132" s="58">
        <v>6.7706571170935854</v>
      </c>
      <c r="BU132" s="58">
        <v>17.276127188160313</v>
      </c>
      <c r="BV132" s="58">
        <v>36.249999999601563</v>
      </c>
      <c r="BW132" s="58">
        <v>0</v>
      </c>
      <c r="BX132" s="58">
        <v>50</v>
      </c>
      <c r="BY132" s="58">
        <v>3.525508087930318</v>
      </c>
      <c r="BZ132" s="58">
        <v>7.2471434617012278</v>
      </c>
      <c r="CA132" s="58">
        <v>71.258121369815157</v>
      </c>
      <c r="CB132" s="58" t="s">
        <v>920</v>
      </c>
      <c r="CC132" s="58">
        <v>0</v>
      </c>
      <c r="CD132" s="58" t="s">
        <v>920</v>
      </c>
      <c r="CE132" s="58">
        <v>33.077717302758479</v>
      </c>
      <c r="CF132" s="58" t="s">
        <v>920</v>
      </c>
      <c r="CG132" s="58">
        <v>1.3913866904502736</v>
      </c>
      <c r="CH132" s="58">
        <v>28.641644325290439</v>
      </c>
      <c r="CI132" s="58">
        <v>27.34375</v>
      </c>
      <c r="CJ132" s="58">
        <v>79.081632653061234</v>
      </c>
      <c r="CK132" s="58">
        <v>54.317019754511108</v>
      </c>
      <c r="CL132" s="58">
        <v>11.111111111111111</v>
      </c>
      <c r="CM132" s="58" t="s">
        <v>920</v>
      </c>
      <c r="CN132" s="58">
        <v>24.545454545454547</v>
      </c>
      <c r="CO132" s="58">
        <v>73.842841765339074</v>
      </c>
      <c r="CP132" s="58">
        <v>35.89030492085476</v>
      </c>
      <c r="CQ132" s="58">
        <v>112</v>
      </c>
      <c r="CR132" s="58">
        <v>94</v>
      </c>
      <c r="CS132" s="58" t="s">
        <v>920</v>
      </c>
      <c r="CT132" s="58">
        <v>121</v>
      </c>
      <c r="CU132" s="58">
        <v>126</v>
      </c>
      <c r="CV132" s="58" t="s">
        <v>920</v>
      </c>
      <c r="CW132" s="58">
        <v>116</v>
      </c>
      <c r="CX132" s="58">
        <v>119</v>
      </c>
      <c r="CY132" s="58">
        <v>115</v>
      </c>
      <c r="CZ132" s="58">
        <v>120</v>
      </c>
      <c r="DA132" s="58" t="s">
        <v>920</v>
      </c>
      <c r="DB132" s="58">
        <v>58</v>
      </c>
      <c r="DC132" s="58" t="s">
        <v>920</v>
      </c>
      <c r="DD132" s="58">
        <v>81</v>
      </c>
      <c r="DE132" s="58">
        <v>97</v>
      </c>
      <c r="DF132" s="58" t="s">
        <v>920</v>
      </c>
      <c r="DG132" s="58">
        <v>107</v>
      </c>
      <c r="DH132" s="58">
        <v>90</v>
      </c>
      <c r="DI132" s="58" t="s">
        <v>920</v>
      </c>
      <c r="DJ132" s="58">
        <v>90</v>
      </c>
      <c r="DK132" s="58" t="s">
        <v>920</v>
      </c>
      <c r="DL132" s="58">
        <v>101</v>
      </c>
      <c r="DM132" s="58">
        <v>116</v>
      </c>
      <c r="DN132" s="58">
        <v>126</v>
      </c>
      <c r="DO132" s="58" t="s">
        <v>920</v>
      </c>
      <c r="DP132" s="58" t="s">
        <v>920</v>
      </c>
      <c r="DQ132" s="58">
        <v>107</v>
      </c>
      <c r="DR132" s="58">
        <v>116</v>
      </c>
      <c r="DS132" s="58">
        <v>115</v>
      </c>
      <c r="DT132" s="58">
        <v>42</v>
      </c>
      <c r="DU132" s="58">
        <v>103</v>
      </c>
      <c r="DV132" s="58">
        <v>122</v>
      </c>
      <c r="DW132" s="58">
        <v>114</v>
      </c>
      <c r="DX132" s="58">
        <v>115</v>
      </c>
      <c r="DY132" s="58">
        <v>107</v>
      </c>
      <c r="DZ132" s="58">
        <v>126</v>
      </c>
      <c r="EA132" s="58">
        <v>125</v>
      </c>
      <c r="EB132" s="58">
        <v>67</v>
      </c>
      <c r="EC132" s="58" t="s">
        <v>920</v>
      </c>
      <c r="ED132" s="58">
        <v>81</v>
      </c>
      <c r="EE132" s="58" t="s">
        <v>920</v>
      </c>
      <c r="EF132" s="58">
        <v>120</v>
      </c>
      <c r="EG132" s="58" t="s">
        <v>920</v>
      </c>
      <c r="EH132" s="58">
        <v>119</v>
      </c>
      <c r="EI132" s="58">
        <v>103</v>
      </c>
      <c r="EJ132" s="58">
        <v>119</v>
      </c>
      <c r="EK132" s="58">
        <v>35</v>
      </c>
      <c r="EL132" s="58">
        <v>94</v>
      </c>
      <c r="EM132" s="58">
        <v>120</v>
      </c>
      <c r="EN132" s="58" t="s">
        <v>920</v>
      </c>
      <c r="EO132" s="58">
        <v>123</v>
      </c>
      <c r="EP132" s="58">
        <v>71</v>
      </c>
      <c r="EQ132" s="58">
        <v>105</v>
      </c>
    </row>
    <row r="133" spans="1:147" x14ac:dyDescent="0.45">
      <c r="A133" t="s">
        <v>135</v>
      </c>
      <c r="B133" s="59" t="s">
        <v>418</v>
      </c>
      <c r="C133" s="37" t="s">
        <v>25</v>
      </c>
      <c r="D133" s="37" t="s">
        <v>883</v>
      </c>
      <c r="E133" s="104">
        <v>989.29499999999996</v>
      </c>
      <c r="F133" s="104">
        <v>13689000</v>
      </c>
      <c r="G133" s="87">
        <v>14.757430559047259</v>
      </c>
      <c r="H133" s="1" t="s">
        <v>262</v>
      </c>
      <c r="I133" s="58">
        <v>127</v>
      </c>
      <c r="J133" s="87">
        <v>11.87734171499652</v>
      </c>
      <c r="K133" s="87">
        <v>13.707062713410899</v>
      </c>
      <c r="L133" s="87">
        <v>7.9856091487842917</v>
      </c>
      <c r="M133" s="87">
        <v>25.459708658997329</v>
      </c>
      <c r="N133" s="58">
        <v>127</v>
      </c>
      <c r="O133" s="58">
        <v>126</v>
      </c>
      <c r="P133" s="58">
        <v>127</v>
      </c>
      <c r="Q133" s="58">
        <v>127</v>
      </c>
      <c r="R133" s="58">
        <v>10.445972266272472</v>
      </c>
      <c r="S133" s="58">
        <v>11.196577165182998</v>
      </c>
      <c r="T133" s="58">
        <v>13.989475713534091</v>
      </c>
      <c r="U133" s="58">
        <v>19.831109662455333</v>
      </c>
      <c r="V133" s="58">
        <v>10.881751616340432</v>
      </c>
      <c r="W133" s="58">
        <v>10.408326861436933</v>
      </c>
      <c r="X133" s="58">
        <v>0</v>
      </c>
      <c r="Y133" s="58">
        <v>15.260255292311404</v>
      </c>
      <c r="Z133" s="58">
        <v>8.6965721540414727</v>
      </c>
      <c r="AA133" s="58">
        <v>12.111902578615016</v>
      </c>
      <c r="AB133" s="58">
        <v>23.460471940482549</v>
      </c>
      <c r="AC133" s="58">
        <v>40.806751457894414</v>
      </c>
      <c r="AD133" s="58">
        <v>127</v>
      </c>
      <c r="AE133" s="58">
        <v>112</v>
      </c>
      <c r="AF133" s="58">
        <v>121</v>
      </c>
      <c r="AG133" s="58">
        <v>122</v>
      </c>
      <c r="AH133" s="58">
        <v>126</v>
      </c>
      <c r="AI133" s="58">
        <v>125</v>
      </c>
      <c r="AJ133" s="58">
        <v>127</v>
      </c>
      <c r="AK133" s="58">
        <v>127</v>
      </c>
      <c r="AL133" s="58">
        <v>126</v>
      </c>
      <c r="AM133" s="58">
        <v>126</v>
      </c>
      <c r="AN133" s="58">
        <v>126</v>
      </c>
      <c r="AO133" s="58">
        <v>122</v>
      </c>
      <c r="AP133" s="58">
        <v>7.9119742148274597</v>
      </c>
      <c r="AQ133" s="58">
        <v>5.5818894487931665</v>
      </c>
      <c r="AR133" s="58">
        <v>0</v>
      </c>
      <c r="AS133" s="58">
        <v>0</v>
      </c>
      <c r="AT133" s="58">
        <v>49.181969934014205</v>
      </c>
      <c r="AU133" s="58">
        <v>0</v>
      </c>
      <c r="AV133" s="58">
        <v>5.5790148475884295E-2</v>
      </c>
      <c r="AW133" s="58">
        <v>8.3946034686250254E-2</v>
      </c>
      <c r="AX133" s="58">
        <v>44.646572477569855</v>
      </c>
      <c r="AY133" s="58">
        <v>0</v>
      </c>
      <c r="AZ133" s="58" t="s">
        <v>920</v>
      </c>
      <c r="BA133" s="58">
        <v>23.5</v>
      </c>
      <c r="BB133" s="58" t="s">
        <v>920</v>
      </c>
      <c r="BC133" s="58">
        <v>4.4789514270681812</v>
      </c>
      <c r="BD133" s="58">
        <v>1.4994573561444797</v>
      </c>
      <c r="BE133" s="58" t="s">
        <v>920</v>
      </c>
      <c r="BF133" s="58">
        <v>1.9818460805809104</v>
      </c>
      <c r="BG133" s="58">
        <v>56.012025550640608</v>
      </c>
      <c r="BH133" s="58" t="s">
        <v>920</v>
      </c>
      <c r="BI133" s="58">
        <v>17.391976501507305</v>
      </c>
      <c r="BJ133" s="58" t="s">
        <v>920</v>
      </c>
      <c r="BK133" s="58">
        <v>15.238712772230617</v>
      </c>
      <c r="BL133" s="58">
        <v>1.4565575283378936E-2</v>
      </c>
      <c r="BM133" s="58">
        <v>17.541896752926455</v>
      </c>
      <c r="BN133" s="58" t="s">
        <v>920</v>
      </c>
      <c r="BO133" s="58" t="s">
        <v>920</v>
      </c>
      <c r="BP133" s="58">
        <v>3.2747569699474122</v>
      </c>
      <c r="BQ133" s="58">
        <v>0</v>
      </c>
      <c r="BR133" s="58">
        <v>0</v>
      </c>
      <c r="BS133" s="58" t="s">
        <v>920</v>
      </c>
      <c r="BT133" s="58" t="s">
        <v>920</v>
      </c>
      <c r="BU133" s="58">
        <v>17.560860037500643</v>
      </c>
      <c r="BV133" s="58">
        <v>26.249999999601563</v>
      </c>
      <c r="BW133" s="58">
        <v>32.490416424454821</v>
      </c>
      <c r="BX133" s="58">
        <v>0</v>
      </c>
      <c r="BY133" s="58">
        <v>0</v>
      </c>
      <c r="BZ133" s="58">
        <v>17.393144308082945</v>
      </c>
      <c r="CA133" s="58" t="s">
        <v>920</v>
      </c>
      <c r="CB133" s="58">
        <v>0</v>
      </c>
      <c r="CC133" s="58" t="s">
        <v>920</v>
      </c>
      <c r="CD133" s="58" t="s">
        <v>920</v>
      </c>
      <c r="CE133" s="58">
        <v>20.16665832311612</v>
      </c>
      <c r="CF133" s="58" t="s">
        <v>920</v>
      </c>
      <c r="CG133" s="58">
        <v>4.0571468341139116</v>
      </c>
      <c r="CH133" s="58">
        <v>11.505808757819484</v>
      </c>
      <c r="CI133" s="58">
        <v>7.0312499999999982</v>
      </c>
      <c r="CJ133" s="58">
        <v>65.051020408163268</v>
      </c>
      <c r="CK133" s="58">
        <v>38.637693719093065</v>
      </c>
      <c r="CL133" s="58">
        <v>13.333333333333334</v>
      </c>
      <c r="CM133" s="58" t="s">
        <v>920</v>
      </c>
      <c r="CN133" s="58">
        <v>65.454545454545453</v>
      </c>
      <c r="CO133" s="58">
        <v>42.195909580193749</v>
      </c>
      <c r="CP133" s="58">
        <v>16.206265344554723</v>
      </c>
      <c r="CQ133" s="58">
        <v>126</v>
      </c>
      <c r="CR133" s="58">
        <v>126</v>
      </c>
      <c r="CS133" s="58">
        <v>123</v>
      </c>
      <c r="CT133" s="58">
        <v>121</v>
      </c>
      <c r="CU133" s="58">
        <v>125</v>
      </c>
      <c r="CV133" s="58">
        <v>88</v>
      </c>
      <c r="CW133" s="58">
        <v>123</v>
      </c>
      <c r="CX133" s="58">
        <v>125</v>
      </c>
      <c r="CY133" s="58">
        <v>106</v>
      </c>
      <c r="CZ133" s="58">
        <v>124</v>
      </c>
      <c r="DA133" s="58" t="s">
        <v>920</v>
      </c>
      <c r="DB133" s="58">
        <v>108</v>
      </c>
      <c r="DC133" s="58" t="s">
        <v>920</v>
      </c>
      <c r="DD133" s="58">
        <v>99</v>
      </c>
      <c r="DE133" s="58">
        <v>117</v>
      </c>
      <c r="DF133" s="58" t="s">
        <v>920</v>
      </c>
      <c r="DG133" s="58">
        <v>124</v>
      </c>
      <c r="DH133" s="58">
        <v>82</v>
      </c>
      <c r="DI133" s="58" t="s">
        <v>920</v>
      </c>
      <c r="DJ133" s="58">
        <v>105</v>
      </c>
      <c r="DK133" s="58" t="s">
        <v>920</v>
      </c>
      <c r="DL133" s="58">
        <v>117</v>
      </c>
      <c r="DM133" s="58">
        <v>119</v>
      </c>
      <c r="DN133" s="58">
        <v>124</v>
      </c>
      <c r="DO133" s="58" t="s">
        <v>920</v>
      </c>
      <c r="DP133" s="58" t="s">
        <v>920</v>
      </c>
      <c r="DQ133" s="58">
        <v>82</v>
      </c>
      <c r="DR133" s="58">
        <v>127</v>
      </c>
      <c r="DS133" s="58">
        <v>126</v>
      </c>
      <c r="DT133" s="58" t="s">
        <v>920</v>
      </c>
      <c r="DU133" s="58" t="s">
        <v>920</v>
      </c>
      <c r="DV133" s="58">
        <v>121</v>
      </c>
      <c r="DW133" s="58">
        <v>120</v>
      </c>
      <c r="DX133" s="58">
        <v>82</v>
      </c>
      <c r="DY133" s="58">
        <v>125</v>
      </c>
      <c r="DZ133" s="58">
        <v>127</v>
      </c>
      <c r="EA133" s="58">
        <v>117</v>
      </c>
      <c r="EB133" s="58" t="s">
        <v>920</v>
      </c>
      <c r="EC133" s="58">
        <v>104</v>
      </c>
      <c r="ED133" s="58" t="s">
        <v>920</v>
      </c>
      <c r="EE133" s="58" t="s">
        <v>920</v>
      </c>
      <c r="EF133" s="58">
        <v>125</v>
      </c>
      <c r="EG133" s="58" t="s">
        <v>920</v>
      </c>
      <c r="EH133" s="58">
        <v>99</v>
      </c>
      <c r="EI133" s="58">
        <v>121</v>
      </c>
      <c r="EJ133" s="58">
        <v>122</v>
      </c>
      <c r="EK133" s="58">
        <v>71</v>
      </c>
      <c r="EL133" s="58">
        <v>110</v>
      </c>
      <c r="EM133" s="58">
        <v>118</v>
      </c>
      <c r="EN133" s="58" t="s">
        <v>920</v>
      </c>
      <c r="EO133" s="58">
        <v>96</v>
      </c>
      <c r="EP133" s="58">
        <v>117</v>
      </c>
      <c r="EQ133" s="58">
        <v>121</v>
      </c>
    </row>
  </sheetData>
  <autoFilter ref="A6:EQ133" xr:uid="{00000000-0009-0000-0000-000000000000}"/>
  <phoneticPr fontId="4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16"/>
  <sheetViews>
    <sheetView workbookViewId="0">
      <selection activeCell="B16" sqref="B16"/>
    </sheetView>
  </sheetViews>
  <sheetFormatPr defaultRowHeight="14.25" x14ac:dyDescent="0.45"/>
  <cols>
    <col min="2" max="2" width="23.86328125" customWidth="1"/>
    <col min="3" max="3" width="8.3984375" bestFit="1" customWidth="1"/>
    <col min="4" max="4" width="9.265625" bestFit="1" customWidth="1"/>
    <col min="5" max="5" width="11.1328125" bestFit="1" customWidth="1"/>
    <col min="6" max="6" width="7.265625" bestFit="1" customWidth="1"/>
    <col min="7" max="7" width="11.59765625" bestFit="1" customWidth="1"/>
    <col min="8" max="8" width="7" bestFit="1" customWidth="1"/>
  </cols>
  <sheetData>
    <row r="1" spans="2:8" x14ac:dyDescent="0.45">
      <c r="C1" t="s">
        <v>761</v>
      </c>
      <c r="D1" t="s">
        <v>760</v>
      </c>
      <c r="E1" t="s">
        <v>617</v>
      </c>
      <c r="F1" t="s">
        <v>618</v>
      </c>
      <c r="G1" t="s">
        <v>619</v>
      </c>
      <c r="H1" t="s">
        <v>620</v>
      </c>
    </row>
    <row r="3" spans="2:8" x14ac:dyDescent="0.45">
      <c r="B3" t="s">
        <v>886</v>
      </c>
    </row>
    <row r="4" spans="2:8" x14ac:dyDescent="0.45">
      <c r="E4" s="13" t="s">
        <v>21</v>
      </c>
      <c r="F4" s="13"/>
      <c r="G4" s="13"/>
      <c r="H4" s="13"/>
    </row>
    <row r="5" spans="2:8" x14ac:dyDescent="0.45">
      <c r="B5" s="55" t="s">
        <v>280</v>
      </c>
      <c r="C5" s="56" t="s">
        <v>19</v>
      </c>
      <c r="D5" s="56" t="s">
        <v>20</v>
      </c>
      <c r="E5" s="56" t="s">
        <v>1</v>
      </c>
      <c r="F5" s="56" t="s">
        <v>2</v>
      </c>
      <c r="G5" s="56" t="s">
        <v>3</v>
      </c>
      <c r="H5" s="57" t="s">
        <v>4</v>
      </c>
    </row>
    <row r="6" spans="2:8" ht="14.65" thickBot="1" x14ac:dyDescent="0.5">
      <c r="B6" s="36" t="s">
        <v>281</v>
      </c>
      <c r="C6" s="37">
        <v>1</v>
      </c>
      <c r="D6" s="1">
        <v>79.130950582919425</v>
      </c>
      <c r="E6" s="108">
        <v>82.469169860556875</v>
      </c>
      <c r="F6" s="108">
        <v>76.156543678728895</v>
      </c>
      <c r="G6" s="108">
        <v>86.480215478605558</v>
      </c>
      <c r="H6" s="108">
        <v>71.417873313786387</v>
      </c>
    </row>
    <row r="7" spans="2:8" ht="14.65" thickBot="1" x14ac:dyDescent="0.5">
      <c r="B7" s="36" t="s">
        <v>13</v>
      </c>
      <c r="C7" s="38">
        <v>2</v>
      </c>
      <c r="D7" s="12">
        <v>75.823837313101762</v>
      </c>
      <c r="E7" s="109">
        <v>66.281467972712548</v>
      </c>
      <c r="F7" s="109">
        <v>62.938287105726893</v>
      </c>
      <c r="G7" s="109">
        <v>88.905535663749546</v>
      </c>
      <c r="H7" s="109">
        <v>85.170058510218041</v>
      </c>
    </row>
    <row r="8" spans="2:8" ht="14.65" thickBot="1" x14ac:dyDescent="0.5">
      <c r="B8" s="36" t="s">
        <v>15</v>
      </c>
      <c r="C8" s="37">
        <v>3</v>
      </c>
      <c r="D8" s="1">
        <v>75.462404629325135</v>
      </c>
      <c r="E8" s="108">
        <v>70.422541563731727</v>
      </c>
      <c r="F8" s="108">
        <v>68.104724188555437</v>
      </c>
      <c r="G8" s="108">
        <v>84.408290638206992</v>
      </c>
      <c r="H8" s="108">
        <v>78.914062126806343</v>
      </c>
    </row>
    <row r="9" spans="2:8" ht="14.65" thickBot="1" x14ac:dyDescent="0.5">
      <c r="B9" s="36" t="s">
        <v>12</v>
      </c>
      <c r="C9" s="38">
        <v>4</v>
      </c>
      <c r="D9" s="12">
        <v>75.135904392563475</v>
      </c>
      <c r="E9" s="109">
        <v>67.473821058839349</v>
      </c>
      <c r="F9" s="109">
        <v>58.748614484206513</v>
      </c>
      <c r="G9" s="109">
        <v>92.023058834484388</v>
      </c>
      <c r="H9" s="109">
        <v>82.298123192723651</v>
      </c>
    </row>
    <row r="10" spans="2:8" ht="14.65" thickBot="1" x14ac:dyDescent="0.5">
      <c r="B10" s="36" t="s">
        <v>11</v>
      </c>
      <c r="C10" s="37">
        <v>5</v>
      </c>
      <c r="D10" s="1">
        <v>75.086618211154772</v>
      </c>
      <c r="E10" s="108">
        <v>69.043628120751734</v>
      </c>
      <c r="F10" s="108">
        <v>62.360026576138637</v>
      </c>
      <c r="G10" s="108">
        <v>86.6799736362765</v>
      </c>
      <c r="H10" s="108">
        <v>82.262844511452229</v>
      </c>
    </row>
    <row r="11" spans="2:8" ht="14.65" thickBot="1" x14ac:dyDescent="0.5">
      <c r="B11" s="36" t="s">
        <v>9</v>
      </c>
      <c r="C11" s="38">
        <v>6</v>
      </c>
      <c r="D11" s="12">
        <v>75.084631564669266</v>
      </c>
      <c r="E11" s="109">
        <v>72.014949914062257</v>
      </c>
      <c r="F11" s="109">
        <v>58.71172111776189</v>
      </c>
      <c r="G11" s="109">
        <v>89.564062475907406</v>
      </c>
      <c r="H11" s="109">
        <v>80.047792750945533</v>
      </c>
    </row>
    <row r="12" spans="2:8" ht="14.65" thickBot="1" x14ac:dyDescent="0.5">
      <c r="B12" s="36" t="s">
        <v>16</v>
      </c>
      <c r="C12" s="37">
        <v>7</v>
      </c>
      <c r="D12" s="1">
        <v>74.121352152110632</v>
      </c>
      <c r="E12" s="108">
        <v>70.274689107482146</v>
      </c>
      <c r="F12" s="108">
        <v>63.0496156877565</v>
      </c>
      <c r="G12" s="108">
        <v>86.835444470599626</v>
      </c>
      <c r="H12" s="108">
        <v>76.325659342604254</v>
      </c>
    </row>
    <row r="13" spans="2:8" ht="14.65" thickBot="1" x14ac:dyDescent="0.5">
      <c r="B13" s="36" t="s">
        <v>18</v>
      </c>
      <c r="C13" s="38">
        <v>8</v>
      </c>
      <c r="D13" s="12">
        <v>73.851631876381575</v>
      </c>
      <c r="E13" s="109">
        <v>67.741272176822235</v>
      </c>
      <c r="F13" s="109">
        <v>67.973040850474362</v>
      </c>
      <c r="G13" s="109">
        <v>84.618739202666461</v>
      </c>
      <c r="H13" s="109">
        <v>75.073475275563212</v>
      </c>
    </row>
    <row r="14" spans="2:8" ht="14.65" thickBot="1" x14ac:dyDescent="0.5">
      <c r="B14" s="36" t="s">
        <v>14</v>
      </c>
      <c r="C14" s="37">
        <v>9</v>
      </c>
      <c r="D14" s="1">
        <v>73.625969759313335</v>
      </c>
      <c r="E14" s="108">
        <v>73.59580116645752</v>
      </c>
      <c r="F14" s="108">
        <v>59.490276187520088</v>
      </c>
      <c r="G14" s="108">
        <v>83.761682434486076</v>
      </c>
      <c r="H14" s="108">
        <v>77.656119248789636</v>
      </c>
    </row>
    <row r="15" spans="2:8" ht="14.65" thickBot="1" x14ac:dyDescent="0.5">
      <c r="B15" s="36" t="s">
        <v>282</v>
      </c>
      <c r="C15" s="38">
        <v>10</v>
      </c>
      <c r="D15" s="12">
        <v>72.377477715016283</v>
      </c>
      <c r="E15" s="109">
        <v>66.070532483275329</v>
      </c>
      <c r="F15" s="109">
        <v>72.554143111309997</v>
      </c>
      <c r="G15" s="109">
        <v>82.045568313405795</v>
      </c>
      <c r="H15" s="109">
        <v>68.83966695207404</v>
      </c>
    </row>
    <row r="16" spans="2:8" x14ac:dyDescent="0.45">
      <c r="B16" t="s">
        <v>887</v>
      </c>
    </row>
  </sheetData>
  <pageMargins left="0.7" right="0.7" top="0.75" bottom="0.75" header="0.3" footer="0.3"/>
  <pageSetup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3:G54"/>
  <sheetViews>
    <sheetView workbookViewId="0">
      <selection activeCell="B22" sqref="B22"/>
    </sheetView>
  </sheetViews>
  <sheetFormatPr defaultRowHeight="14.25" x14ac:dyDescent="0.45"/>
  <cols>
    <col min="1" max="1" width="9.1328125" customWidth="1"/>
    <col min="2" max="2" width="63.9296875" bestFit="1" customWidth="1"/>
    <col min="3" max="3" width="23.3984375" bestFit="1" customWidth="1"/>
    <col min="4" max="4" width="20.265625" bestFit="1" customWidth="1"/>
    <col min="5" max="5" width="21.3984375" bestFit="1" customWidth="1"/>
    <col min="6" max="6" width="15" bestFit="1" customWidth="1"/>
    <col min="7" max="7" width="25.19921875" bestFit="1" customWidth="1"/>
  </cols>
  <sheetData>
    <row r="3" spans="2:7" x14ac:dyDescent="0.45">
      <c r="B3" t="s">
        <v>40</v>
      </c>
    </row>
    <row r="4" spans="2:7" x14ac:dyDescent="0.45">
      <c r="B4" s="55" t="s">
        <v>25</v>
      </c>
      <c r="C4" s="56" t="s">
        <v>29</v>
      </c>
      <c r="D4" s="56" t="s">
        <v>31</v>
      </c>
      <c r="E4" s="56" t="s">
        <v>34</v>
      </c>
      <c r="F4" s="56" t="s">
        <v>10</v>
      </c>
      <c r="G4" s="56" t="s">
        <v>37</v>
      </c>
    </row>
    <row r="5" spans="2:7" x14ac:dyDescent="0.45">
      <c r="B5" t="s">
        <v>888</v>
      </c>
      <c r="C5" t="s">
        <v>900</v>
      </c>
      <c r="D5" t="s">
        <v>901</v>
      </c>
      <c r="E5" t="s">
        <v>902</v>
      </c>
      <c r="F5" t="s">
        <v>903</v>
      </c>
      <c r="G5" t="s">
        <v>602</v>
      </c>
    </row>
    <row r="6" spans="2:7" x14ac:dyDescent="0.45">
      <c r="B6" s="67" t="s">
        <v>889</v>
      </c>
      <c r="C6" s="67" t="s">
        <v>904</v>
      </c>
      <c r="D6" s="67" t="s">
        <v>890</v>
      </c>
      <c r="E6" s="67" t="s">
        <v>905</v>
      </c>
      <c r="F6" s="67" t="s">
        <v>906</v>
      </c>
      <c r="G6" s="67" t="s">
        <v>907</v>
      </c>
    </row>
    <row r="7" spans="2:7" x14ac:dyDescent="0.45">
      <c r="B7" s="39" t="s">
        <v>908</v>
      </c>
      <c r="C7" s="39" t="s">
        <v>891</v>
      </c>
      <c r="D7" s="39" t="s">
        <v>909</v>
      </c>
      <c r="E7" s="39" t="s">
        <v>892</v>
      </c>
      <c r="F7" s="39" t="s">
        <v>910</v>
      </c>
      <c r="G7" s="39" t="s">
        <v>911</v>
      </c>
    </row>
    <row r="8" spans="2:7" x14ac:dyDescent="0.45">
      <c r="B8" t="s">
        <v>38</v>
      </c>
    </row>
    <row r="9" spans="2:7" x14ac:dyDescent="0.45">
      <c r="B9" t="s">
        <v>887</v>
      </c>
    </row>
    <row r="26" hidden="1" x14ac:dyDescent="0.45"/>
    <row r="27" hidden="1" x14ac:dyDescent="0.45"/>
    <row r="28" hidden="1" x14ac:dyDescent="0.45"/>
    <row r="29" hidden="1" x14ac:dyDescent="0.45"/>
    <row r="30" hidden="1" x14ac:dyDescent="0.45"/>
    <row r="31" hidden="1" x14ac:dyDescent="0.45"/>
    <row r="32" hidden="1" x14ac:dyDescent="0.45"/>
    <row r="33" hidden="1" x14ac:dyDescent="0.45"/>
    <row r="34" hidden="1" x14ac:dyDescent="0.45"/>
    <row r="35" hidden="1" x14ac:dyDescent="0.45"/>
    <row r="36" hidden="1" x14ac:dyDescent="0.45"/>
    <row r="37" hidden="1" x14ac:dyDescent="0.45"/>
    <row r="38" hidden="1" x14ac:dyDescent="0.45"/>
    <row r="39" hidden="1" x14ac:dyDescent="0.45"/>
    <row r="40" hidden="1" x14ac:dyDescent="0.45"/>
    <row r="41" hidden="1" x14ac:dyDescent="0.45"/>
    <row r="42" hidden="1" x14ac:dyDescent="0.45"/>
    <row r="43" hidden="1" x14ac:dyDescent="0.45"/>
    <row r="44" hidden="1" x14ac:dyDescent="0.45"/>
    <row r="45" hidden="1" x14ac:dyDescent="0.45"/>
    <row r="46" hidden="1" x14ac:dyDescent="0.45"/>
    <row r="47" hidden="1" x14ac:dyDescent="0.45"/>
    <row r="48" hidden="1" x14ac:dyDescent="0.45"/>
    <row r="49" hidden="1" x14ac:dyDescent="0.45"/>
    <row r="50" hidden="1" x14ac:dyDescent="0.45"/>
    <row r="51" hidden="1" x14ac:dyDescent="0.45"/>
    <row r="52" hidden="1" x14ac:dyDescent="0.45"/>
    <row r="53" hidden="1" x14ac:dyDescent="0.45"/>
    <row r="54" hidden="1" x14ac:dyDescent="0.45"/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2:E33"/>
  <sheetViews>
    <sheetView workbookViewId="0">
      <selection activeCell="B1" sqref="B1"/>
    </sheetView>
  </sheetViews>
  <sheetFormatPr defaultRowHeight="14.25" x14ac:dyDescent="0.45"/>
  <cols>
    <col min="1" max="1" width="9.06640625" customWidth="1"/>
    <col min="2" max="2" width="56.19921875" bestFit="1" customWidth="1"/>
    <col min="3" max="3" width="26.9296875" bestFit="1" customWidth="1"/>
    <col min="4" max="4" width="26.86328125" bestFit="1" customWidth="1"/>
    <col min="5" max="5" width="19.265625" bestFit="1" customWidth="1"/>
  </cols>
  <sheetData>
    <row r="2" spans="2:5" x14ac:dyDescent="0.45">
      <c r="B2" t="s">
        <v>49</v>
      </c>
    </row>
    <row r="3" spans="2:5" x14ac:dyDescent="0.45">
      <c r="B3" s="55" t="s">
        <v>39</v>
      </c>
      <c r="C3" s="56" t="s">
        <v>43</v>
      </c>
      <c r="D3" s="56" t="s">
        <v>45</v>
      </c>
      <c r="E3" s="56" t="s">
        <v>47</v>
      </c>
    </row>
    <row r="4" spans="2:5" x14ac:dyDescent="0.45">
      <c r="B4" t="s">
        <v>602</v>
      </c>
      <c r="C4" t="s">
        <v>912</v>
      </c>
      <c r="D4" t="s">
        <v>913</v>
      </c>
      <c r="E4" t="s">
        <v>914</v>
      </c>
    </row>
    <row r="5" spans="2:5" x14ac:dyDescent="0.45">
      <c r="B5" s="67" t="s">
        <v>915</v>
      </c>
      <c r="C5" s="67" t="s">
        <v>893</v>
      </c>
      <c r="D5" s="67" t="s">
        <v>916</v>
      </c>
      <c r="E5" s="67" t="s">
        <v>917</v>
      </c>
    </row>
    <row r="6" spans="2:5" x14ac:dyDescent="0.45">
      <c r="B6" s="39" t="s">
        <v>918</v>
      </c>
      <c r="C6" s="39" t="s">
        <v>894</v>
      </c>
      <c r="D6" s="39" t="s">
        <v>895</v>
      </c>
      <c r="E6" s="39" t="s">
        <v>919</v>
      </c>
    </row>
    <row r="7" spans="2:5" x14ac:dyDescent="0.45">
      <c r="B7" t="s">
        <v>48</v>
      </c>
    </row>
    <row r="8" spans="2:5" x14ac:dyDescent="0.45">
      <c r="B8" t="s">
        <v>887</v>
      </c>
    </row>
    <row r="14" spans="2:5" hidden="1" x14ac:dyDescent="0.45"/>
    <row r="15" spans="2:5" hidden="1" x14ac:dyDescent="0.45"/>
    <row r="16" spans="2:5" hidden="1" x14ac:dyDescent="0.45"/>
    <row r="17" hidden="1" x14ac:dyDescent="0.45"/>
    <row r="18" hidden="1" x14ac:dyDescent="0.45"/>
    <row r="19" hidden="1" x14ac:dyDescent="0.45"/>
    <row r="20" hidden="1" x14ac:dyDescent="0.45"/>
    <row r="21" hidden="1" x14ac:dyDescent="0.45"/>
    <row r="22" hidden="1" x14ac:dyDescent="0.45"/>
    <row r="23" hidden="1" x14ac:dyDescent="0.45"/>
    <row r="24" hidden="1" x14ac:dyDescent="0.45"/>
    <row r="25" hidden="1" x14ac:dyDescent="0.45"/>
    <row r="26" hidden="1" x14ac:dyDescent="0.45"/>
    <row r="27" hidden="1" x14ac:dyDescent="0.45"/>
    <row r="28" hidden="1" x14ac:dyDescent="0.45"/>
    <row r="29" hidden="1" x14ac:dyDescent="0.45"/>
    <row r="30" hidden="1" x14ac:dyDescent="0.45"/>
    <row r="31" hidden="1" x14ac:dyDescent="0.45"/>
    <row r="32" hidden="1" x14ac:dyDescent="0.45"/>
    <row r="33" hidden="1" x14ac:dyDescent="0.45"/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1:M133"/>
  <sheetViews>
    <sheetView workbookViewId="0">
      <selection activeCell="I4" sqref="I4"/>
    </sheetView>
  </sheetViews>
  <sheetFormatPr defaultRowHeight="14.25" x14ac:dyDescent="0.45"/>
  <cols>
    <col min="2" max="2" width="10.265625" hidden="1" customWidth="1"/>
    <col min="3" max="3" width="27.796875" hidden="1" customWidth="1"/>
    <col min="4" max="4" width="5.86328125" hidden="1" customWidth="1"/>
    <col min="5" max="5" width="20.3984375" hidden="1" customWidth="1"/>
    <col min="6" max="6" width="12.86328125" hidden="1" customWidth="1"/>
    <col min="7" max="7" width="9.06640625" hidden="1" customWidth="1"/>
    <col min="8" max="8" width="9.06640625" customWidth="1"/>
    <col min="9" max="9" width="8.1328125" customWidth="1"/>
    <col min="10" max="10" width="27.796875" bestFit="1" customWidth="1"/>
    <col min="11" max="11" width="6.3984375" bestFit="1" customWidth="1"/>
    <col min="12" max="12" width="20.265625" customWidth="1"/>
    <col min="13" max="13" width="15.265625" customWidth="1"/>
  </cols>
  <sheetData>
    <row r="1" spans="2:13" x14ac:dyDescent="0.45">
      <c r="J1" t="s">
        <v>7</v>
      </c>
      <c r="K1" t="s">
        <v>760</v>
      </c>
      <c r="L1" t="s">
        <v>588</v>
      </c>
      <c r="M1" t="s">
        <v>587</v>
      </c>
    </row>
    <row r="3" spans="2:13" x14ac:dyDescent="0.45">
      <c r="B3" t="s">
        <v>615</v>
      </c>
      <c r="I3" t="s">
        <v>921</v>
      </c>
    </row>
    <row r="4" spans="2:13" x14ac:dyDescent="0.45">
      <c r="B4" s="55" t="s">
        <v>5</v>
      </c>
      <c r="C4" s="56" t="s">
        <v>7</v>
      </c>
      <c r="D4" s="56" t="s">
        <v>6</v>
      </c>
      <c r="E4" s="56" t="s">
        <v>8</v>
      </c>
      <c r="F4" s="55" t="s">
        <v>0</v>
      </c>
      <c r="I4" s="55" t="s">
        <v>5</v>
      </c>
      <c r="J4" s="56" t="s">
        <v>7</v>
      </c>
      <c r="K4" s="56" t="s">
        <v>6</v>
      </c>
      <c r="L4" s="56" t="s">
        <v>8</v>
      </c>
      <c r="M4" s="55" t="s">
        <v>0</v>
      </c>
    </row>
    <row r="5" spans="2:13" x14ac:dyDescent="0.45">
      <c r="B5" s="28">
        <v>1</v>
      </c>
      <c r="C5" s="29" t="str">
        <f>INDEX('NRI 2025'!$A$6:$I$133,MATCH('T1 NRI R&amp;S'!$B5,'NRI 2025'!$I$6:$I$133,0),1)</f>
        <v>United States of America</v>
      </c>
      <c r="D5" s="29">
        <f>INDEX('NRI 2025'!$A$6:$I$133,MATCH('T1 NRI R&amp;S'!$C5,'NRI 2025'!$A$6:$A$133,0),7)</f>
        <v>79.130950582919425</v>
      </c>
      <c r="E5" s="29" t="str">
        <f>INDEX('NRI 2025'!$A$6:$I$133,MATCH('T1 NRI R&amp;S'!$C5,'NRI 2025'!$A$6:$A$133,0),4)</f>
        <v>High-income</v>
      </c>
      <c r="F5" s="29" t="str">
        <f>INDEX('NRI 2025'!$A$6:$I$133,MATCH('T1 NRI R&amp;S'!$C5,'NRI 2025'!$A$6:$A$133,0),3)</f>
        <v>The Americas</v>
      </c>
      <c r="I5" s="28">
        <v>1</v>
      </c>
      <c r="J5" s="29" t="s">
        <v>281</v>
      </c>
      <c r="K5" s="105">
        <v>79.130950582919425</v>
      </c>
      <c r="L5" s="29" t="s">
        <v>880</v>
      </c>
      <c r="M5" s="29" t="s">
        <v>37</v>
      </c>
    </row>
    <row r="6" spans="2:13" x14ac:dyDescent="0.45">
      <c r="B6" s="32">
        <v>2</v>
      </c>
      <c r="C6" s="33" t="str">
        <f>INDEX('NRI 2025'!$A$6:$I$133,MATCH('T1 NRI R&amp;S'!$B6,'NRI 2025'!$I$6:$I$133,0),1)</f>
        <v>Finland</v>
      </c>
      <c r="D6" s="34">
        <f>INDEX('NRI 2025'!$A$6:$I$133,MATCH('T1 NRI R&amp;S'!$C6,'NRI 2025'!$A$6:$A$133,0),7)</f>
        <v>75.823837313101762</v>
      </c>
      <c r="E6" s="33" t="str">
        <f>INDEX('NRI 2025'!$A$6:$I$133,MATCH('T1 NRI R&amp;S'!$C6,'NRI 2025'!$A$6:$A$133,0),4)</f>
        <v>High-income</v>
      </c>
      <c r="F6" s="35" t="str">
        <f>INDEX('NRI 2025'!$A$6:$I$133,MATCH('T1 NRI R&amp;S'!$C6,'NRI 2025'!$A$6:$A$133,0),3)</f>
        <v>Europe</v>
      </c>
      <c r="I6" s="32">
        <v>2</v>
      </c>
      <c r="J6" s="33" t="s">
        <v>13</v>
      </c>
      <c r="K6" s="106">
        <v>75.823837313101762</v>
      </c>
      <c r="L6" s="33" t="s">
        <v>880</v>
      </c>
      <c r="M6" s="35" t="s">
        <v>10</v>
      </c>
    </row>
    <row r="7" spans="2:13" x14ac:dyDescent="0.45">
      <c r="B7" s="28">
        <v>3</v>
      </c>
      <c r="C7" s="29" t="str">
        <f>INDEX('NRI 2025'!$A$6:$I$133,MATCH('T1 NRI R&amp;S'!$B7,'NRI 2025'!$I$6:$I$133,0),1)</f>
        <v>Singapore</v>
      </c>
      <c r="D7" s="30">
        <f>INDEX('NRI 2025'!$A$6:$I$133,MATCH('T1 NRI R&amp;S'!$C7,'NRI 2025'!$A$6:$A$133,0),7)</f>
        <v>75.462404629325135</v>
      </c>
      <c r="E7" s="29" t="str">
        <f>INDEX('NRI 2025'!$A$6:$I$133,MATCH('T1 NRI R&amp;S'!$C7,'NRI 2025'!$A$6:$A$133,0),4)</f>
        <v>High-income</v>
      </c>
      <c r="F7" s="31" t="str">
        <f>INDEX('NRI 2025'!$A$6:$I$133,MATCH('T1 NRI R&amp;S'!$C7,'NRI 2025'!$A$6:$A$133,0),3)</f>
        <v>Asia &amp; Pacific</v>
      </c>
      <c r="I7" s="28">
        <v>3</v>
      </c>
      <c r="J7" s="29" t="s">
        <v>15</v>
      </c>
      <c r="K7" s="105">
        <v>75.462404629325135</v>
      </c>
      <c r="L7" s="29" t="s">
        <v>880</v>
      </c>
      <c r="M7" s="31" t="s">
        <v>31</v>
      </c>
    </row>
    <row r="8" spans="2:13" x14ac:dyDescent="0.45">
      <c r="B8" s="32">
        <v>4</v>
      </c>
      <c r="C8" s="33" t="str">
        <f>INDEX('NRI 2025'!$A$6:$I$133,MATCH('T1 NRI R&amp;S'!$B8,'NRI 2025'!$I$6:$I$133,0),1)</f>
        <v>Denmark</v>
      </c>
      <c r="D8" s="34">
        <f>INDEX('NRI 2025'!$A$6:$I$133,MATCH('T1 NRI R&amp;S'!$C8,'NRI 2025'!$A$6:$A$133,0),7)</f>
        <v>75.135904392563475</v>
      </c>
      <c r="E8" s="33" t="str">
        <f>INDEX('NRI 2025'!$A$6:$I$133,MATCH('T1 NRI R&amp;S'!$C8,'NRI 2025'!$A$6:$A$133,0),4)</f>
        <v>High-income</v>
      </c>
      <c r="F8" s="35" t="str">
        <f>INDEX('NRI 2025'!$A$6:$I$133,MATCH('T1 NRI R&amp;S'!$C8,'NRI 2025'!$A$6:$A$133,0),3)</f>
        <v>Europe</v>
      </c>
      <c r="I8" s="32">
        <v>4</v>
      </c>
      <c r="J8" s="33" t="s">
        <v>12</v>
      </c>
      <c r="K8" s="106">
        <v>75.135904392563475</v>
      </c>
      <c r="L8" s="33" t="s">
        <v>880</v>
      </c>
      <c r="M8" s="35" t="s">
        <v>10</v>
      </c>
    </row>
    <row r="9" spans="2:13" x14ac:dyDescent="0.45">
      <c r="B9" s="28">
        <v>5</v>
      </c>
      <c r="C9" s="29" t="str">
        <f>INDEX('NRI 2025'!$A$6:$I$133,MATCH('T1 NRI R&amp;S'!$B9,'NRI 2025'!$I$6:$I$133,0),1)</f>
        <v>Sweden</v>
      </c>
      <c r="D9" s="30">
        <f>INDEX('NRI 2025'!$A$6:$I$133,MATCH('T1 NRI R&amp;S'!$C9,'NRI 2025'!$A$6:$A$133,0),7)</f>
        <v>75.086618211154772</v>
      </c>
      <c r="E9" s="29" t="str">
        <f>INDEX('NRI 2025'!$A$6:$I$133,MATCH('T1 NRI R&amp;S'!$C9,'NRI 2025'!$A$6:$A$133,0),4)</f>
        <v>High-income</v>
      </c>
      <c r="F9" s="31" t="str">
        <f>INDEX('NRI 2025'!$A$6:$I$133,MATCH('T1 NRI R&amp;S'!$C9,'NRI 2025'!$A$6:$A$133,0),3)</f>
        <v>Europe</v>
      </c>
      <c r="I9" s="28">
        <v>5</v>
      </c>
      <c r="J9" s="29" t="s">
        <v>11</v>
      </c>
      <c r="K9" s="105">
        <v>75.086618211154772</v>
      </c>
      <c r="L9" s="29" t="s">
        <v>880</v>
      </c>
      <c r="M9" s="31" t="s">
        <v>10</v>
      </c>
    </row>
    <row r="10" spans="2:13" x14ac:dyDescent="0.45">
      <c r="B10" s="32">
        <v>6</v>
      </c>
      <c r="C10" s="33" t="str">
        <f>INDEX('NRI 2025'!$A$6:$I$133,MATCH('T1 NRI R&amp;S'!$B10,'NRI 2025'!$I$6:$I$133,0),1)</f>
        <v>Netherlands</v>
      </c>
      <c r="D10" s="34">
        <f>INDEX('NRI 2025'!$A$6:$I$133,MATCH('T1 NRI R&amp;S'!$C10,'NRI 2025'!$A$6:$A$133,0),7)</f>
        <v>75.084631564669266</v>
      </c>
      <c r="E10" s="33" t="str">
        <f>INDEX('NRI 2025'!$A$6:$I$133,MATCH('T1 NRI R&amp;S'!$C10,'NRI 2025'!$A$6:$A$133,0),4)</f>
        <v>High-income</v>
      </c>
      <c r="F10" s="35" t="str">
        <f>INDEX('NRI 2025'!$A$6:$I$133,MATCH('T1 NRI R&amp;S'!$C10,'NRI 2025'!$A$6:$A$133,0),3)</f>
        <v>Europe</v>
      </c>
      <c r="I10" s="32">
        <v>6</v>
      </c>
      <c r="J10" s="33" t="s">
        <v>9</v>
      </c>
      <c r="K10" s="106">
        <v>75.084631564669266</v>
      </c>
      <c r="L10" s="33" t="s">
        <v>880</v>
      </c>
      <c r="M10" s="35" t="s">
        <v>10</v>
      </c>
    </row>
    <row r="11" spans="2:13" x14ac:dyDescent="0.45">
      <c r="B11" s="28">
        <v>7</v>
      </c>
      <c r="C11" s="29" t="str">
        <f>INDEX('NRI 2025'!$A$6:$I$133,MATCH('T1 NRI R&amp;S'!$B11,'NRI 2025'!$I$6:$I$133,0),1)</f>
        <v>Germany</v>
      </c>
      <c r="D11" s="30">
        <f>INDEX('NRI 2025'!$A$6:$I$133,MATCH('T1 NRI R&amp;S'!$C11,'NRI 2025'!$A$6:$A$133,0),7)</f>
        <v>74.121352152110632</v>
      </c>
      <c r="E11" s="29" t="str">
        <f>INDEX('NRI 2025'!$A$6:$I$133,MATCH('T1 NRI R&amp;S'!$C11,'NRI 2025'!$A$6:$A$133,0),4)</f>
        <v>High-income</v>
      </c>
      <c r="F11" s="31" t="str">
        <f>INDEX('NRI 2025'!$A$6:$I$133,MATCH('T1 NRI R&amp;S'!$C11,'NRI 2025'!$A$6:$A$133,0),3)</f>
        <v>Europe</v>
      </c>
      <c r="I11" s="28">
        <v>7</v>
      </c>
      <c r="J11" s="29" t="s">
        <v>16</v>
      </c>
      <c r="K11" s="105">
        <v>74.121352152110632</v>
      </c>
      <c r="L11" s="29" t="s">
        <v>880</v>
      </c>
      <c r="M11" s="31" t="s">
        <v>10</v>
      </c>
    </row>
    <row r="12" spans="2:13" x14ac:dyDescent="0.45">
      <c r="B12" s="32">
        <v>8</v>
      </c>
      <c r="C12" s="33" t="str">
        <f>INDEX('NRI 2025'!$A$6:$I$133,MATCH('T1 NRI R&amp;S'!$B12,'NRI 2025'!$I$6:$I$133,0),1)</f>
        <v>United Kingdom</v>
      </c>
      <c r="D12" s="34">
        <f>INDEX('NRI 2025'!$A$6:$I$133,MATCH('T1 NRI R&amp;S'!$C12,'NRI 2025'!$A$6:$A$133,0),7)</f>
        <v>73.851631876381575</v>
      </c>
      <c r="E12" s="33" t="str">
        <f>INDEX('NRI 2025'!$A$6:$I$133,MATCH('T1 NRI R&amp;S'!$C12,'NRI 2025'!$A$6:$A$133,0),4)</f>
        <v>High-income</v>
      </c>
      <c r="F12" s="35" t="str">
        <f>INDEX('NRI 2025'!$A$6:$I$133,MATCH('T1 NRI R&amp;S'!$C12,'NRI 2025'!$A$6:$A$133,0),3)</f>
        <v>Europe</v>
      </c>
      <c r="I12" s="32">
        <v>8</v>
      </c>
      <c r="J12" s="33" t="s">
        <v>18</v>
      </c>
      <c r="K12" s="106">
        <v>73.851631876381575</v>
      </c>
      <c r="L12" s="33" t="s">
        <v>880</v>
      </c>
      <c r="M12" s="35" t="s">
        <v>10</v>
      </c>
    </row>
    <row r="13" spans="2:13" x14ac:dyDescent="0.45">
      <c r="B13" s="28">
        <v>9</v>
      </c>
      <c r="C13" s="29" t="str">
        <f>INDEX('NRI 2025'!$A$6:$I$133,MATCH('T1 NRI R&amp;S'!$B13,'NRI 2025'!$I$6:$I$133,0),1)</f>
        <v>Switzerland</v>
      </c>
      <c r="D13" s="30">
        <f>INDEX('NRI 2025'!$A$6:$I$133,MATCH('T1 NRI R&amp;S'!$C13,'NRI 2025'!$A$6:$A$133,0),7)</f>
        <v>73.625969759313335</v>
      </c>
      <c r="E13" s="29" t="str">
        <f>INDEX('NRI 2025'!$A$6:$I$133,MATCH('T1 NRI R&amp;S'!$C13,'NRI 2025'!$A$6:$A$133,0),4)</f>
        <v>High-income</v>
      </c>
      <c r="F13" s="31" t="str">
        <f>INDEX('NRI 2025'!$A$6:$I$133,MATCH('T1 NRI R&amp;S'!$C13,'NRI 2025'!$A$6:$A$133,0),3)</f>
        <v>Europe</v>
      </c>
      <c r="I13" s="28">
        <v>9</v>
      </c>
      <c r="J13" s="29" t="s">
        <v>14</v>
      </c>
      <c r="K13" s="105">
        <v>73.625969759313335</v>
      </c>
      <c r="L13" s="29" t="s">
        <v>880</v>
      </c>
      <c r="M13" s="31" t="s">
        <v>10</v>
      </c>
    </row>
    <row r="14" spans="2:13" x14ac:dyDescent="0.45">
      <c r="B14" s="32">
        <v>10</v>
      </c>
      <c r="C14" s="33" t="str">
        <f>INDEX('NRI 2025'!$A$6:$I$133,MATCH('T1 NRI R&amp;S'!$B14,'NRI 2025'!$I$6:$I$133,0),1)</f>
        <v>Republic of Korea</v>
      </c>
      <c r="D14" s="34">
        <f>INDEX('NRI 2025'!$A$6:$I$133,MATCH('T1 NRI R&amp;S'!$C14,'NRI 2025'!$A$6:$A$133,0),7)</f>
        <v>72.377477715016283</v>
      </c>
      <c r="E14" s="33" t="str">
        <f>INDEX('NRI 2025'!$A$6:$I$133,MATCH('T1 NRI R&amp;S'!$C14,'NRI 2025'!$A$6:$A$133,0),4)</f>
        <v>High-income</v>
      </c>
      <c r="F14" s="35" t="str">
        <f>INDEX('NRI 2025'!$A$6:$I$133,MATCH('T1 NRI R&amp;S'!$C14,'NRI 2025'!$A$6:$A$133,0),3)</f>
        <v>Asia &amp; Pacific</v>
      </c>
      <c r="I14" s="32">
        <v>10</v>
      </c>
      <c r="J14" s="33" t="s">
        <v>282</v>
      </c>
      <c r="K14" s="106">
        <v>72.377477715016283</v>
      </c>
      <c r="L14" s="33" t="s">
        <v>880</v>
      </c>
      <c r="M14" s="35" t="s">
        <v>31</v>
      </c>
    </row>
    <row r="15" spans="2:13" x14ac:dyDescent="0.45">
      <c r="B15" s="28">
        <v>11</v>
      </c>
      <c r="C15" s="29" t="str">
        <f>INDEX('NRI 2025'!$A$6:$I$133,MATCH('T1 NRI R&amp;S'!$B15,'NRI 2025'!$I$6:$I$133,0),1)</f>
        <v>Japan</v>
      </c>
      <c r="D15" s="30">
        <f>INDEX('NRI 2025'!$A$6:$I$133,MATCH('T1 NRI R&amp;S'!$C15,'NRI 2025'!$A$6:$A$133,0),7)</f>
        <v>70.215050035707335</v>
      </c>
      <c r="E15" s="29" t="str">
        <f>INDEX('NRI 2025'!$A$6:$I$133,MATCH('T1 NRI R&amp;S'!$C15,'NRI 2025'!$A$6:$A$133,0),4)</f>
        <v>High-income</v>
      </c>
      <c r="F15" s="31" t="str">
        <f>INDEX('NRI 2025'!$A$6:$I$133,MATCH('T1 NRI R&amp;S'!$C15,'NRI 2025'!$A$6:$A$133,0),3)</f>
        <v>Asia &amp; Pacific</v>
      </c>
      <c r="I15" s="28">
        <v>11</v>
      </c>
      <c r="J15" s="29" t="s">
        <v>52</v>
      </c>
      <c r="K15" s="105">
        <v>70.215050035707335</v>
      </c>
      <c r="L15" s="29" t="s">
        <v>880</v>
      </c>
      <c r="M15" s="31" t="s">
        <v>31</v>
      </c>
    </row>
    <row r="16" spans="2:13" x14ac:dyDescent="0.45">
      <c r="B16" s="32">
        <v>12</v>
      </c>
      <c r="C16" s="33" t="str">
        <f>INDEX('NRI 2025'!$A$6:$I$133,MATCH('T1 NRI R&amp;S'!$B16,'NRI 2025'!$I$6:$I$133,0),1)</f>
        <v>Canada</v>
      </c>
      <c r="D16" s="34">
        <f>INDEX('NRI 2025'!$A$6:$I$133,MATCH('T1 NRI R&amp;S'!$C16,'NRI 2025'!$A$6:$A$133,0),7)</f>
        <v>70.105260361783081</v>
      </c>
      <c r="E16" s="33" t="str">
        <f>INDEX('NRI 2025'!$A$6:$I$133,MATCH('T1 NRI R&amp;S'!$C16,'NRI 2025'!$A$6:$A$133,0),4)</f>
        <v>High-income</v>
      </c>
      <c r="F16" s="35" t="str">
        <f>INDEX('NRI 2025'!$A$6:$I$133,MATCH('T1 NRI R&amp;S'!$C16,'NRI 2025'!$A$6:$A$133,0),3)</f>
        <v>The Americas</v>
      </c>
      <c r="I16" s="32">
        <v>12</v>
      </c>
      <c r="J16" s="33" t="s">
        <v>35</v>
      </c>
      <c r="K16" s="106">
        <v>70.105260361783081</v>
      </c>
      <c r="L16" s="33" t="s">
        <v>880</v>
      </c>
      <c r="M16" s="35" t="s">
        <v>37</v>
      </c>
    </row>
    <row r="17" spans="2:13" x14ac:dyDescent="0.45">
      <c r="B17" s="28">
        <v>13</v>
      </c>
      <c r="C17" s="29" t="str">
        <f>INDEX('NRI 2025'!$A$6:$I$133,MATCH('T1 NRI R&amp;S'!$B17,'NRI 2025'!$I$6:$I$133,0),1)</f>
        <v>Estonia</v>
      </c>
      <c r="D17" s="30">
        <f>INDEX('NRI 2025'!$A$6:$I$133,MATCH('T1 NRI R&amp;S'!$C17,'NRI 2025'!$A$6:$A$133,0),7)</f>
        <v>69.9478924349241</v>
      </c>
      <c r="E17" s="29" t="str">
        <f>INDEX('NRI 2025'!$A$6:$I$133,MATCH('T1 NRI R&amp;S'!$C17,'NRI 2025'!$A$6:$A$133,0),4)</f>
        <v>High-income</v>
      </c>
      <c r="F17" s="31" t="str">
        <f>INDEX('NRI 2025'!$A$6:$I$133,MATCH('T1 NRI R&amp;S'!$C17,'NRI 2025'!$A$6:$A$133,0),3)</f>
        <v>Europe</v>
      </c>
      <c r="I17" s="28">
        <v>13</v>
      </c>
      <c r="J17" s="29" t="s">
        <v>57</v>
      </c>
      <c r="K17" s="105">
        <v>69.9478924349241</v>
      </c>
      <c r="L17" s="29" t="s">
        <v>880</v>
      </c>
      <c r="M17" s="31" t="s">
        <v>10</v>
      </c>
    </row>
    <row r="18" spans="2:13" x14ac:dyDescent="0.45">
      <c r="B18" s="32">
        <v>14</v>
      </c>
      <c r="C18" s="33" t="str">
        <f>INDEX('NRI 2025'!$A$6:$I$133,MATCH('T1 NRI R&amp;S'!$B18,'NRI 2025'!$I$6:$I$133,0),1)</f>
        <v>Norway</v>
      </c>
      <c r="D18" s="34">
        <f>INDEX('NRI 2025'!$A$6:$I$133,MATCH('T1 NRI R&amp;S'!$C18,'NRI 2025'!$A$6:$A$133,0),7)</f>
        <v>69.696212320878345</v>
      </c>
      <c r="E18" s="33" t="str">
        <f>INDEX('NRI 2025'!$A$6:$I$133,MATCH('T1 NRI R&amp;S'!$C18,'NRI 2025'!$A$6:$A$133,0),4)</f>
        <v>High-income</v>
      </c>
      <c r="F18" s="35" t="str">
        <f>INDEX('NRI 2025'!$A$6:$I$133,MATCH('T1 NRI R&amp;S'!$C18,'NRI 2025'!$A$6:$A$133,0),3)</f>
        <v>Europe</v>
      </c>
      <c r="I18" s="32">
        <v>14</v>
      </c>
      <c r="J18" s="33" t="s">
        <v>17</v>
      </c>
      <c r="K18" s="106">
        <v>69.696212320878345</v>
      </c>
      <c r="L18" s="33" t="s">
        <v>880</v>
      </c>
      <c r="M18" s="35" t="s">
        <v>10</v>
      </c>
    </row>
    <row r="19" spans="2:13" x14ac:dyDescent="0.45">
      <c r="B19" s="28">
        <v>15</v>
      </c>
      <c r="C19" s="29" t="str">
        <f>INDEX('NRI 2025'!$A$6:$I$133,MATCH('T1 NRI R&amp;S'!$B19,'NRI 2025'!$I$6:$I$133,0),1)</f>
        <v>Ireland</v>
      </c>
      <c r="D19" s="30">
        <f>INDEX('NRI 2025'!$A$6:$I$133,MATCH('T1 NRI R&amp;S'!$C19,'NRI 2025'!$A$6:$A$133,0),7)</f>
        <v>69.375584226328513</v>
      </c>
      <c r="E19" s="29" t="str">
        <f>INDEX('NRI 2025'!$A$6:$I$133,MATCH('T1 NRI R&amp;S'!$C19,'NRI 2025'!$A$6:$A$133,0),4)</f>
        <v>High-income</v>
      </c>
      <c r="F19" s="31" t="str">
        <f>INDEX('NRI 2025'!$A$6:$I$133,MATCH('T1 NRI R&amp;S'!$C19,'NRI 2025'!$A$6:$A$133,0),3)</f>
        <v>Europe</v>
      </c>
      <c r="I19" s="28">
        <v>15</v>
      </c>
      <c r="J19" s="29" t="s">
        <v>55</v>
      </c>
      <c r="K19" s="105">
        <v>69.375584226328513</v>
      </c>
      <c r="L19" s="29" t="s">
        <v>880</v>
      </c>
      <c r="M19" s="31" t="s">
        <v>10</v>
      </c>
    </row>
    <row r="20" spans="2:13" x14ac:dyDescent="0.45">
      <c r="B20" s="32">
        <v>16</v>
      </c>
      <c r="C20" s="33" t="str">
        <f>INDEX('NRI 2025'!$A$6:$I$133,MATCH('T1 NRI R&amp;S'!$B20,'NRI 2025'!$I$6:$I$133,0),1)</f>
        <v>Israel</v>
      </c>
      <c r="D20" s="34">
        <f>INDEX('NRI 2025'!$A$6:$I$133,MATCH('T1 NRI R&amp;S'!$C20,'NRI 2025'!$A$6:$A$133,0),7)</f>
        <v>69.259843042929603</v>
      </c>
      <c r="E20" s="33" t="str">
        <f>INDEX('NRI 2025'!$A$6:$I$133,MATCH('T1 NRI R&amp;S'!$C20,'NRI 2025'!$A$6:$A$133,0),4)</f>
        <v>High-income</v>
      </c>
      <c r="F20" s="35" t="str">
        <f>INDEX('NRI 2025'!$A$6:$I$133,MATCH('T1 NRI R&amp;S'!$C20,'NRI 2025'!$A$6:$A$133,0),3)</f>
        <v>Europe</v>
      </c>
      <c r="I20" s="32">
        <v>16</v>
      </c>
      <c r="J20" s="33" t="s">
        <v>58</v>
      </c>
      <c r="K20" s="106">
        <v>69.259843042929603</v>
      </c>
      <c r="L20" s="33" t="s">
        <v>880</v>
      </c>
      <c r="M20" s="35" t="s">
        <v>10</v>
      </c>
    </row>
    <row r="21" spans="2:13" x14ac:dyDescent="0.45">
      <c r="B21" s="28">
        <v>17</v>
      </c>
      <c r="C21" s="29" t="str">
        <f>INDEX('NRI 2025'!$A$6:$I$133,MATCH('T1 NRI R&amp;S'!$B21,'NRI 2025'!$I$6:$I$133,0),1)</f>
        <v>Australia</v>
      </c>
      <c r="D21" s="30">
        <f>INDEX('NRI 2025'!$A$6:$I$133,MATCH('T1 NRI R&amp;S'!$C21,'NRI 2025'!$A$6:$A$133,0),7)</f>
        <v>69.016042963697913</v>
      </c>
      <c r="E21" s="29" t="str">
        <f>INDEX('NRI 2025'!$A$6:$I$133,MATCH('T1 NRI R&amp;S'!$C21,'NRI 2025'!$A$6:$A$133,0),4)</f>
        <v>High-income</v>
      </c>
      <c r="F21" s="31" t="str">
        <f>INDEX('NRI 2025'!$A$6:$I$133,MATCH('T1 NRI R&amp;S'!$C21,'NRI 2025'!$A$6:$A$133,0),3)</f>
        <v>Asia &amp; Pacific</v>
      </c>
      <c r="I21" s="28">
        <v>17</v>
      </c>
      <c r="J21" s="29" t="s">
        <v>30</v>
      </c>
      <c r="K21" s="105">
        <v>69.016042963697913</v>
      </c>
      <c r="L21" s="29" t="s">
        <v>880</v>
      </c>
      <c r="M21" s="31" t="s">
        <v>31</v>
      </c>
    </row>
    <row r="22" spans="2:13" x14ac:dyDescent="0.45">
      <c r="B22" s="32">
        <v>18</v>
      </c>
      <c r="C22" s="33" t="str">
        <f>INDEX('NRI 2025'!$A$6:$I$133,MATCH('T1 NRI R&amp;S'!$B22,'NRI 2025'!$I$6:$I$133,0),1)</f>
        <v>Luxembourg</v>
      </c>
      <c r="D22" s="34">
        <f>INDEX('NRI 2025'!$A$6:$I$133,MATCH('T1 NRI R&amp;S'!$C22,'NRI 2025'!$A$6:$A$133,0),7)</f>
        <v>68.365144627733628</v>
      </c>
      <c r="E22" s="33" t="str">
        <f>INDEX('NRI 2025'!$A$6:$I$133,MATCH('T1 NRI R&amp;S'!$C22,'NRI 2025'!$A$6:$A$133,0),4)</f>
        <v>High-income</v>
      </c>
      <c r="F22" s="35" t="str">
        <f>INDEX('NRI 2025'!$A$6:$I$133,MATCH('T1 NRI R&amp;S'!$C22,'NRI 2025'!$A$6:$A$133,0),3)</f>
        <v>Europe</v>
      </c>
      <c r="I22" s="32">
        <v>18</v>
      </c>
      <c r="J22" s="33" t="s">
        <v>53</v>
      </c>
      <c r="K22" s="106">
        <v>68.365144627733628</v>
      </c>
      <c r="L22" s="33" t="s">
        <v>880</v>
      </c>
      <c r="M22" s="35" t="s">
        <v>10</v>
      </c>
    </row>
    <row r="23" spans="2:13" x14ac:dyDescent="0.45">
      <c r="B23" s="28">
        <v>19</v>
      </c>
      <c r="C23" s="29" t="str">
        <f>INDEX('NRI 2025'!$A$6:$I$133,MATCH('T1 NRI R&amp;S'!$B23,'NRI 2025'!$I$6:$I$133,0),1)</f>
        <v>France</v>
      </c>
      <c r="D23" s="30">
        <f>INDEX('NRI 2025'!$A$6:$I$133,MATCH('T1 NRI R&amp;S'!$C23,'NRI 2025'!$A$6:$A$133,0),7)</f>
        <v>68.162697911532348</v>
      </c>
      <c r="E23" s="29" t="str">
        <f>INDEX('NRI 2025'!$A$6:$I$133,MATCH('T1 NRI R&amp;S'!$C23,'NRI 2025'!$A$6:$A$133,0),4)</f>
        <v>High-income</v>
      </c>
      <c r="F23" s="31" t="str">
        <f>INDEX('NRI 2025'!$A$6:$I$133,MATCH('T1 NRI R&amp;S'!$C23,'NRI 2025'!$A$6:$A$133,0),3)</f>
        <v>Europe</v>
      </c>
      <c r="I23" s="28">
        <v>19</v>
      </c>
      <c r="J23" s="29" t="s">
        <v>50</v>
      </c>
      <c r="K23" s="105">
        <v>68.162697911532348</v>
      </c>
      <c r="L23" s="29" t="s">
        <v>880</v>
      </c>
      <c r="M23" s="31" t="s">
        <v>10</v>
      </c>
    </row>
    <row r="24" spans="2:13" x14ac:dyDescent="0.45">
      <c r="B24" s="32">
        <v>20</v>
      </c>
      <c r="C24" s="33" t="str">
        <f>INDEX('NRI 2025'!$A$6:$I$133,MATCH('T1 NRI R&amp;S'!$B24,'NRI 2025'!$I$6:$I$133,0),1)</f>
        <v>Belgium</v>
      </c>
      <c r="D24" s="34">
        <f>INDEX('NRI 2025'!$A$6:$I$133,MATCH('T1 NRI R&amp;S'!$C24,'NRI 2025'!$A$6:$A$133,0),7)</f>
        <v>67.15441098121461</v>
      </c>
      <c r="E24" s="33" t="str">
        <f>INDEX('NRI 2025'!$A$6:$I$133,MATCH('T1 NRI R&amp;S'!$C24,'NRI 2025'!$A$6:$A$133,0),4)</f>
        <v>High-income</v>
      </c>
      <c r="F24" s="35" t="str">
        <f>INDEX('NRI 2025'!$A$6:$I$133,MATCH('T1 NRI R&amp;S'!$C24,'NRI 2025'!$A$6:$A$133,0),3)</f>
        <v>Europe</v>
      </c>
      <c r="I24" s="32">
        <v>20</v>
      </c>
      <c r="J24" s="33" t="s">
        <v>54</v>
      </c>
      <c r="K24" s="106">
        <v>67.15441098121461</v>
      </c>
      <c r="L24" s="33" t="s">
        <v>880</v>
      </c>
      <c r="M24" s="35" t="s">
        <v>10</v>
      </c>
    </row>
    <row r="25" spans="2:13" x14ac:dyDescent="0.45">
      <c r="B25" s="28">
        <v>21</v>
      </c>
      <c r="C25" s="29" t="str">
        <f>INDEX('NRI 2025'!$A$6:$I$133,MATCH('T1 NRI R&amp;S'!$B25,'NRI 2025'!$I$6:$I$133,0),1)</f>
        <v>Austria</v>
      </c>
      <c r="D25" s="30">
        <f>INDEX('NRI 2025'!$A$6:$I$133,MATCH('T1 NRI R&amp;S'!$C25,'NRI 2025'!$A$6:$A$133,0),7)</f>
        <v>67.130277873782887</v>
      </c>
      <c r="E25" s="29" t="str">
        <f>INDEX('NRI 2025'!$A$6:$I$133,MATCH('T1 NRI R&amp;S'!$C25,'NRI 2025'!$A$6:$A$133,0),4)</f>
        <v>High-income</v>
      </c>
      <c r="F25" s="31" t="str">
        <f>INDEX('NRI 2025'!$A$6:$I$133,MATCH('T1 NRI R&amp;S'!$C25,'NRI 2025'!$A$6:$A$133,0),3)</f>
        <v>Europe</v>
      </c>
      <c r="I25" s="28">
        <v>21</v>
      </c>
      <c r="J25" s="29" t="s">
        <v>51</v>
      </c>
      <c r="K25" s="105">
        <v>67.130277873782887</v>
      </c>
      <c r="L25" s="29" t="s">
        <v>880</v>
      </c>
      <c r="M25" s="31" t="s">
        <v>10</v>
      </c>
    </row>
    <row r="26" spans="2:13" x14ac:dyDescent="0.45">
      <c r="B26" s="32">
        <v>22</v>
      </c>
      <c r="C26" s="33" t="str">
        <f>INDEX('NRI 2025'!$A$6:$I$133,MATCH('T1 NRI R&amp;S'!$B26,'NRI 2025'!$I$6:$I$133,0),1)</f>
        <v>Iceland</v>
      </c>
      <c r="D26" s="34">
        <f>INDEX('NRI 2025'!$A$6:$I$133,MATCH('T1 NRI R&amp;S'!$C26,'NRI 2025'!$A$6:$A$133,0),7)</f>
        <v>66.095834722453191</v>
      </c>
      <c r="E26" s="33" t="str">
        <f>INDEX('NRI 2025'!$A$6:$I$133,MATCH('T1 NRI R&amp;S'!$C26,'NRI 2025'!$A$6:$A$133,0),4)</f>
        <v>High-income</v>
      </c>
      <c r="F26" s="35" t="str">
        <f>INDEX('NRI 2025'!$A$6:$I$133,MATCH('T1 NRI R&amp;S'!$C26,'NRI 2025'!$A$6:$A$133,0),3)</f>
        <v>Europe</v>
      </c>
      <c r="I26" s="32">
        <v>22</v>
      </c>
      <c r="J26" s="33" t="s">
        <v>60</v>
      </c>
      <c r="K26" s="106">
        <v>66.095834722453191</v>
      </c>
      <c r="L26" s="33" t="s">
        <v>880</v>
      </c>
      <c r="M26" s="35" t="s">
        <v>10</v>
      </c>
    </row>
    <row r="27" spans="2:13" x14ac:dyDescent="0.45">
      <c r="B27" s="28">
        <v>23</v>
      </c>
      <c r="C27" s="29" t="str">
        <f>INDEX('NRI 2025'!$A$6:$I$133,MATCH('T1 NRI R&amp;S'!$B27,'NRI 2025'!$I$6:$I$133,0),1)</f>
        <v>New Zealand</v>
      </c>
      <c r="D27" s="30">
        <f>INDEX('NRI 2025'!$A$6:$I$133,MATCH('T1 NRI R&amp;S'!$C27,'NRI 2025'!$A$6:$A$133,0),7)</f>
        <v>65.950218324453488</v>
      </c>
      <c r="E27" s="29" t="str">
        <f>INDEX('NRI 2025'!$A$6:$I$133,MATCH('T1 NRI R&amp;S'!$C27,'NRI 2025'!$A$6:$A$133,0),4)</f>
        <v>High-income</v>
      </c>
      <c r="F27" s="31" t="str">
        <f>INDEX('NRI 2025'!$A$6:$I$133,MATCH('T1 NRI R&amp;S'!$C27,'NRI 2025'!$A$6:$A$133,0),3)</f>
        <v>Asia &amp; Pacific</v>
      </c>
      <c r="I27" s="28">
        <v>23</v>
      </c>
      <c r="J27" s="29" t="s">
        <v>56</v>
      </c>
      <c r="K27" s="105">
        <v>65.950218324453488</v>
      </c>
      <c r="L27" s="29" t="s">
        <v>880</v>
      </c>
      <c r="M27" s="31" t="s">
        <v>31</v>
      </c>
    </row>
    <row r="28" spans="2:13" x14ac:dyDescent="0.45">
      <c r="B28" s="32">
        <v>24</v>
      </c>
      <c r="C28" s="33" t="str">
        <f>INDEX('NRI 2025'!$A$6:$I$133,MATCH('T1 NRI R&amp;S'!$B28,'NRI 2025'!$I$6:$I$133,0),1)</f>
        <v>China</v>
      </c>
      <c r="D28" s="34">
        <f>INDEX('NRI 2025'!$A$6:$I$133,MATCH('T1 NRI R&amp;S'!$C28,'NRI 2025'!$A$6:$A$133,0),7)</f>
        <v>65.738859546693888</v>
      </c>
      <c r="E28" s="33" t="str">
        <f>INDEX('NRI 2025'!$A$6:$I$133,MATCH('T1 NRI R&amp;S'!$C28,'NRI 2025'!$A$6:$A$133,0),4)</f>
        <v>Upper middle-income</v>
      </c>
      <c r="F28" s="35" t="str">
        <f>INDEX('NRI 2025'!$A$6:$I$133,MATCH('T1 NRI R&amp;S'!$C28,'NRI 2025'!$A$6:$A$133,0),3)</f>
        <v>Asia &amp; Pacific</v>
      </c>
      <c r="I28" s="32">
        <v>24</v>
      </c>
      <c r="J28" s="33" t="s">
        <v>41</v>
      </c>
      <c r="K28" s="106">
        <v>65.738859546693888</v>
      </c>
      <c r="L28" s="33" t="s">
        <v>881</v>
      </c>
      <c r="M28" s="35" t="s">
        <v>31</v>
      </c>
    </row>
    <row r="29" spans="2:13" x14ac:dyDescent="0.45">
      <c r="B29" s="28">
        <v>25</v>
      </c>
      <c r="C29" s="29" t="str">
        <f>INDEX('NRI 2025'!$A$6:$I$133,MATCH('T1 NRI R&amp;S'!$B29,'NRI 2025'!$I$6:$I$133,0),1)</f>
        <v>Spain</v>
      </c>
      <c r="D29" s="30">
        <f>INDEX('NRI 2025'!$A$6:$I$133,MATCH('T1 NRI R&amp;S'!$C29,'NRI 2025'!$A$6:$A$133,0),7)</f>
        <v>65.424993759319136</v>
      </c>
      <c r="E29" s="29" t="str">
        <f>INDEX('NRI 2025'!$A$6:$I$133,MATCH('T1 NRI R&amp;S'!$C29,'NRI 2025'!$A$6:$A$133,0),4)</f>
        <v>High-income</v>
      </c>
      <c r="F29" s="31" t="str">
        <f>INDEX('NRI 2025'!$A$6:$I$133,MATCH('T1 NRI R&amp;S'!$C29,'NRI 2025'!$A$6:$A$133,0),3)</f>
        <v>Europe</v>
      </c>
      <c r="I29" s="28">
        <v>25</v>
      </c>
      <c r="J29" s="29" t="s">
        <v>59</v>
      </c>
      <c r="K29" s="105">
        <v>65.424993759319136</v>
      </c>
      <c r="L29" s="29" t="s">
        <v>880</v>
      </c>
      <c r="M29" s="31" t="s">
        <v>10</v>
      </c>
    </row>
    <row r="30" spans="2:13" x14ac:dyDescent="0.45">
      <c r="B30" s="32">
        <v>26</v>
      </c>
      <c r="C30" s="33" t="str">
        <f>INDEX('NRI 2025'!$A$6:$I$133,MATCH('T1 NRI R&amp;S'!$B30,'NRI 2025'!$I$6:$I$133,0),1)</f>
        <v>United Arab Emirates</v>
      </c>
      <c r="D30" s="34">
        <f>INDEX('NRI 2025'!$A$6:$I$133,MATCH('T1 NRI R&amp;S'!$C30,'NRI 2025'!$A$6:$A$133,0),7)</f>
        <v>62.601984397023521</v>
      </c>
      <c r="E30" s="33" t="str">
        <f>INDEX('NRI 2025'!$A$6:$I$133,MATCH('T1 NRI R&amp;S'!$C30,'NRI 2025'!$A$6:$A$133,0),4)</f>
        <v>High-income</v>
      </c>
      <c r="F30" s="35" t="str">
        <f>INDEX('NRI 2025'!$A$6:$I$133,MATCH('T1 NRI R&amp;S'!$C30,'NRI 2025'!$A$6:$A$133,0),3)</f>
        <v>Arab States</v>
      </c>
      <c r="I30" s="32">
        <v>26</v>
      </c>
      <c r="J30" s="33" t="s">
        <v>26</v>
      </c>
      <c r="K30" s="106">
        <v>62.601984397023521</v>
      </c>
      <c r="L30" s="33" t="s">
        <v>880</v>
      </c>
      <c r="M30" s="35" t="s">
        <v>29</v>
      </c>
    </row>
    <row r="31" spans="2:13" x14ac:dyDescent="0.45">
      <c r="B31" s="28">
        <v>27</v>
      </c>
      <c r="C31" s="29" t="str">
        <f>INDEX('NRI 2025'!$A$6:$I$133,MATCH('T1 NRI R&amp;S'!$B31,'NRI 2025'!$I$6:$I$133,0),1)</f>
        <v>Lithuania</v>
      </c>
      <c r="D31" s="30">
        <f>INDEX('NRI 2025'!$A$6:$I$133,MATCH('T1 NRI R&amp;S'!$C31,'NRI 2025'!$A$6:$A$133,0),7)</f>
        <v>62.59701162715497</v>
      </c>
      <c r="E31" s="29" t="str">
        <f>INDEX('NRI 2025'!$A$6:$I$133,MATCH('T1 NRI R&amp;S'!$C31,'NRI 2025'!$A$6:$A$133,0),4)</f>
        <v>High-income</v>
      </c>
      <c r="F31" s="31" t="str">
        <f>INDEX('NRI 2025'!$A$6:$I$133,MATCH('T1 NRI R&amp;S'!$C31,'NRI 2025'!$A$6:$A$133,0),3)</f>
        <v>Europe</v>
      </c>
      <c r="I31" s="28">
        <v>27</v>
      </c>
      <c r="J31" s="29" t="s">
        <v>64</v>
      </c>
      <c r="K31" s="105">
        <v>62.59701162715497</v>
      </c>
      <c r="L31" s="29" t="s">
        <v>880</v>
      </c>
      <c r="M31" s="31" t="s">
        <v>10</v>
      </c>
    </row>
    <row r="32" spans="2:13" x14ac:dyDescent="0.45">
      <c r="B32" s="32">
        <v>28</v>
      </c>
      <c r="C32" s="33" t="str">
        <f>INDEX('NRI 2025'!$A$6:$I$133,MATCH('T1 NRI R&amp;S'!$B32,'NRI 2025'!$I$6:$I$133,0),1)</f>
        <v>Italy</v>
      </c>
      <c r="D32" s="34">
        <f>INDEX('NRI 2025'!$A$6:$I$133,MATCH('T1 NRI R&amp;S'!$C32,'NRI 2025'!$A$6:$A$133,0),7)</f>
        <v>62.478647254626502</v>
      </c>
      <c r="E32" s="33" t="str">
        <f>INDEX('NRI 2025'!$A$6:$I$133,MATCH('T1 NRI R&amp;S'!$C32,'NRI 2025'!$A$6:$A$133,0),4)</f>
        <v>High-income</v>
      </c>
      <c r="F32" s="35" t="str">
        <f>INDEX('NRI 2025'!$A$6:$I$133,MATCH('T1 NRI R&amp;S'!$C32,'NRI 2025'!$A$6:$A$133,0),3)</f>
        <v>Europe</v>
      </c>
      <c r="I32" s="32">
        <v>28</v>
      </c>
      <c r="J32" s="33" t="s">
        <v>63</v>
      </c>
      <c r="K32" s="106">
        <v>62.478647254626502</v>
      </c>
      <c r="L32" s="33" t="s">
        <v>880</v>
      </c>
      <c r="M32" s="35" t="s">
        <v>10</v>
      </c>
    </row>
    <row r="33" spans="2:13" x14ac:dyDescent="0.45">
      <c r="B33" s="28">
        <v>29</v>
      </c>
      <c r="C33" s="29" t="str">
        <f>INDEX('NRI 2025'!$A$6:$I$133,MATCH('T1 NRI R&amp;S'!$B33,'NRI 2025'!$I$6:$I$133,0),1)</f>
        <v>Czechia</v>
      </c>
      <c r="D33" s="30">
        <f>INDEX('NRI 2025'!$A$6:$I$133,MATCH('T1 NRI R&amp;S'!$C33,'NRI 2025'!$A$6:$A$133,0),7)</f>
        <v>62.316351930250136</v>
      </c>
      <c r="E33" s="29" t="str">
        <f>INDEX('NRI 2025'!$A$6:$I$133,MATCH('T1 NRI R&amp;S'!$C33,'NRI 2025'!$A$6:$A$133,0),4)</f>
        <v>High-income</v>
      </c>
      <c r="F33" s="31" t="str">
        <f>INDEX('NRI 2025'!$A$6:$I$133,MATCH('T1 NRI R&amp;S'!$C33,'NRI 2025'!$A$6:$A$133,0),3)</f>
        <v>Europe</v>
      </c>
      <c r="I33" s="28">
        <v>29</v>
      </c>
      <c r="J33" s="29" t="s">
        <v>311</v>
      </c>
      <c r="K33" s="105">
        <v>62.316351930250136</v>
      </c>
      <c r="L33" s="29" t="s">
        <v>880</v>
      </c>
      <c r="M33" s="31" t="s">
        <v>10</v>
      </c>
    </row>
    <row r="34" spans="2:13" x14ac:dyDescent="0.45">
      <c r="B34" s="32">
        <v>30</v>
      </c>
      <c r="C34" s="33" t="str">
        <f>INDEX('NRI 2025'!$A$6:$I$133,MATCH('T1 NRI R&amp;S'!$B34,'NRI 2025'!$I$6:$I$133,0),1)</f>
        <v>Hong Kong, China</v>
      </c>
      <c r="D34" s="34">
        <f>INDEX('NRI 2025'!$A$6:$I$133,MATCH('T1 NRI R&amp;S'!$C34,'NRI 2025'!$A$6:$A$133,0),7)</f>
        <v>61.92528893149963</v>
      </c>
      <c r="E34" s="33" t="str">
        <f>INDEX('NRI 2025'!$A$6:$I$133,MATCH('T1 NRI R&amp;S'!$C34,'NRI 2025'!$A$6:$A$133,0),4)</f>
        <v>High-income</v>
      </c>
      <c r="F34" s="35" t="str">
        <f>INDEX('NRI 2025'!$A$6:$I$133,MATCH('T1 NRI R&amp;S'!$C34,'NRI 2025'!$A$6:$A$133,0),3)</f>
        <v>Asia &amp; Pacific</v>
      </c>
      <c r="I34" s="32">
        <v>30</v>
      </c>
      <c r="J34" s="33" t="s">
        <v>315</v>
      </c>
      <c r="K34" s="106">
        <v>61.92528893149963</v>
      </c>
      <c r="L34" s="33" t="s">
        <v>880</v>
      </c>
      <c r="M34" s="35" t="s">
        <v>31</v>
      </c>
    </row>
    <row r="35" spans="2:13" x14ac:dyDescent="0.45">
      <c r="B35" s="28">
        <v>31</v>
      </c>
      <c r="C35" s="29" t="str">
        <f>INDEX('NRI 2025'!$A$6:$I$133,MATCH('T1 NRI R&amp;S'!$B35,'NRI 2025'!$I$6:$I$133,0),1)</f>
        <v>Malta</v>
      </c>
      <c r="D35" s="30">
        <f>INDEX('NRI 2025'!$A$6:$I$133,MATCH('T1 NRI R&amp;S'!$C35,'NRI 2025'!$A$6:$A$133,0),7)</f>
        <v>61.724847382803468</v>
      </c>
      <c r="E35" s="29" t="str">
        <f>INDEX('NRI 2025'!$A$6:$I$133,MATCH('T1 NRI R&amp;S'!$C35,'NRI 2025'!$A$6:$A$133,0),4)</f>
        <v>High-income</v>
      </c>
      <c r="F35" s="31" t="str">
        <f>INDEX('NRI 2025'!$A$6:$I$133,MATCH('T1 NRI R&amp;S'!$C35,'NRI 2025'!$A$6:$A$133,0),3)</f>
        <v>Europe</v>
      </c>
      <c r="I35" s="28">
        <v>31</v>
      </c>
      <c r="J35" s="29" t="s">
        <v>62</v>
      </c>
      <c r="K35" s="105">
        <v>61.724847382803468</v>
      </c>
      <c r="L35" s="29" t="s">
        <v>880</v>
      </c>
      <c r="M35" s="31" t="s">
        <v>10</v>
      </c>
    </row>
    <row r="36" spans="2:13" x14ac:dyDescent="0.45">
      <c r="B36" s="32">
        <v>32</v>
      </c>
      <c r="C36" s="33" t="str">
        <f>INDEX('NRI 2025'!$A$6:$I$133,MATCH('T1 NRI R&amp;S'!$B36,'NRI 2025'!$I$6:$I$133,0),1)</f>
        <v>Portugal</v>
      </c>
      <c r="D36" s="34">
        <f>INDEX('NRI 2025'!$A$6:$I$133,MATCH('T1 NRI R&amp;S'!$C36,'NRI 2025'!$A$6:$A$133,0),7)</f>
        <v>61.537048258461887</v>
      </c>
      <c r="E36" s="33" t="str">
        <f>INDEX('NRI 2025'!$A$6:$I$133,MATCH('T1 NRI R&amp;S'!$C36,'NRI 2025'!$A$6:$A$133,0),4)</f>
        <v>High-income</v>
      </c>
      <c r="F36" s="35" t="str">
        <f>INDEX('NRI 2025'!$A$6:$I$133,MATCH('T1 NRI R&amp;S'!$C36,'NRI 2025'!$A$6:$A$133,0),3)</f>
        <v>Europe</v>
      </c>
      <c r="I36" s="32">
        <v>32</v>
      </c>
      <c r="J36" s="33" t="s">
        <v>65</v>
      </c>
      <c r="K36" s="106">
        <v>61.537048258461887</v>
      </c>
      <c r="L36" s="33" t="s">
        <v>880</v>
      </c>
      <c r="M36" s="35" t="s">
        <v>10</v>
      </c>
    </row>
    <row r="37" spans="2:13" x14ac:dyDescent="0.45">
      <c r="B37" s="28">
        <v>33</v>
      </c>
      <c r="C37" s="29" t="str">
        <f>INDEX('NRI 2025'!$A$6:$I$133,MATCH('T1 NRI R&amp;S'!$B37,'NRI 2025'!$I$6:$I$133,0),1)</f>
        <v>Slovenia</v>
      </c>
      <c r="D37" s="30">
        <f>INDEX('NRI 2025'!$A$6:$I$133,MATCH('T1 NRI R&amp;S'!$C37,'NRI 2025'!$A$6:$A$133,0),7)</f>
        <v>60.808954849317672</v>
      </c>
      <c r="E37" s="29" t="str">
        <f>INDEX('NRI 2025'!$A$6:$I$133,MATCH('T1 NRI R&amp;S'!$C37,'NRI 2025'!$A$6:$A$133,0),4)</f>
        <v>High-income</v>
      </c>
      <c r="F37" s="31" t="str">
        <f>INDEX('NRI 2025'!$A$6:$I$133,MATCH('T1 NRI R&amp;S'!$C37,'NRI 2025'!$A$6:$A$133,0),3)</f>
        <v>Europe</v>
      </c>
      <c r="I37" s="28">
        <v>33</v>
      </c>
      <c r="J37" s="29" t="s">
        <v>61</v>
      </c>
      <c r="K37" s="105">
        <v>60.808954849317672</v>
      </c>
      <c r="L37" s="29" t="s">
        <v>880</v>
      </c>
      <c r="M37" s="31" t="s">
        <v>10</v>
      </c>
    </row>
    <row r="38" spans="2:13" x14ac:dyDescent="0.45">
      <c r="B38" s="32">
        <v>34</v>
      </c>
      <c r="C38" s="33" t="str">
        <f>INDEX('NRI 2025'!$A$6:$I$133,MATCH('T1 NRI R&amp;S'!$B38,'NRI 2025'!$I$6:$I$133,0),1)</f>
        <v>Saudi Arabia</v>
      </c>
      <c r="D38" s="34">
        <f>INDEX('NRI 2025'!$A$6:$I$133,MATCH('T1 NRI R&amp;S'!$C38,'NRI 2025'!$A$6:$A$133,0),7)</f>
        <v>60.201982008531964</v>
      </c>
      <c r="E38" s="33" t="str">
        <f>INDEX('NRI 2025'!$A$6:$I$133,MATCH('T1 NRI R&amp;S'!$C38,'NRI 2025'!$A$6:$A$133,0),4)</f>
        <v>High-income</v>
      </c>
      <c r="F38" s="35" t="str">
        <f>INDEX('NRI 2025'!$A$6:$I$133,MATCH('T1 NRI R&amp;S'!$C38,'NRI 2025'!$A$6:$A$133,0),3)</f>
        <v>Arab States</v>
      </c>
      <c r="I38" s="32">
        <v>34</v>
      </c>
      <c r="J38" s="33" t="s">
        <v>27</v>
      </c>
      <c r="K38" s="106">
        <v>60.201982008531964</v>
      </c>
      <c r="L38" s="33" t="s">
        <v>880</v>
      </c>
      <c r="M38" s="35" t="s">
        <v>29</v>
      </c>
    </row>
    <row r="39" spans="2:13" x14ac:dyDescent="0.45">
      <c r="B39" s="28">
        <v>35</v>
      </c>
      <c r="C39" s="29" t="str">
        <f>INDEX('NRI 2025'!$A$6:$I$133,MATCH('T1 NRI R&amp;S'!$B39,'NRI 2025'!$I$6:$I$133,0),1)</f>
        <v>Poland</v>
      </c>
      <c r="D39" s="30">
        <f>INDEX('NRI 2025'!$A$6:$I$133,MATCH('T1 NRI R&amp;S'!$C39,'NRI 2025'!$A$6:$A$133,0),7)</f>
        <v>59.404687604262804</v>
      </c>
      <c r="E39" s="29" t="str">
        <f>INDEX('NRI 2025'!$A$6:$I$133,MATCH('T1 NRI R&amp;S'!$C39,'NRI 2025'!$A$6:$A$133,0),4)</f>
        <v>High-income</v>
      </c>
      <c r="F39" s="31" t="str">
        <f>INDEX('NRI 2025'!$A$6:$I$133,MATCH('T1 NRI R&amp;S'!$C39,'NRI 2025'!$A$6:$A$133,0),3)</f>
        <v>Europe</v>
      </c>
      <c r="I39" s="28">
        <v>35</v>
      </c>
      <c r="J39" s="29" t="s">
        <v>66</v>
      </c>
      <c r="K39" s="105">
        <v>59.404687604262804</v>
      </c>
      <c r="L39" s="29" t="s">
        <v>880</v>
      </c>
      <c r="M39" s="31" t="s">
        <v>10</v>
      </c>
    </row>
    <row r="40" spans="2:13" x14ac:dyDescent="0.45">
      <c r="B40" s="32">
        <v>36</v>
      </c>
      <c r="C40" s="33" t="str">
        <f>INDEX('NRI 2025'!$A$6:$I$133,MATCH('T1 NRI R&amp;S'!$B40,'NRI 2025'!$I$6:$I$133,0),1)</f>
        <v>Bahrain</v>
      </c>
      <c r="D40" s="34">
        <f>INDEX('NRI 2025'!$A$6:$I$133,MATCH('T1 NRI R&amp;S'!$C40,'NRI 2025'!$A$6:$A$133,0),7)</f>
        <v>58.674997413420542</v>
      </c>
      <c r="E40" s="33" t="str">
        <f>INDEX('NRI 2025'!$A$6:$I$133,MATCH('T1 NRI R&amp;S'!$C40,'NRI 2025'!$A$6:$A$133,0),4)</f>
        <v>High-income</v>
      </c>
      <c r="F40" s="35" t="str">
        <f>INDEX('NRI 2025'!$A$6:$I$133,MATCH('T1 NRI R&amp;S'!$C40,'NRI 2025'!$A$6:$A$133,0),3)</f>
        <v>Arab States</v>
      </c>
      <c r="I40" s="32">
        <v>36</v>
      </c>
      <c r="J40" s="33" t="s">
        <v>77</v>
      </c>
      <c r="K40" s="106">
        <v>58.674997413420542</v>
      </c>
      <c r="L40" s="33" t="s">
        <v>880</v>
      </c>
      <c r="M40" s="35" t="s">
        <v>29</v>
      </c>
    </row>
    <row r="41" spans="2:13" x14ac:dyDescent="0.45">
      <c r="B41" s="28">
        <v>37</v>
      </c>
      <c r="C41" s="29" t="str">
        <f>INDEX('NRI 2025'!$A$6:$I$133,MATCH('T1 NRI R&amp;S'!$B41,'NRI 2025'!$I$6:$I$133,0),1)</f>
        <v>Latvia</v>
      </c>
      <c r="D41" s="30">
        <f>INDEX('NRI 2025'!$A$6:$I$133,MATCH('T1 NRI R&amp;S'!$C41,'NRI 2025'!$A$6:$A$133,0),7)</f>
        <v>58.45438838372997</v>
      </c>
      <c r="E41" s="29" t="str">
        <f>INDEX('NRI 2025'!$A$6:$I$133,MATCH('T1 NRI R&amp;S'!$C41,'NRI 2025'!$A$6:$A$133,0),4)</f>
        <v>High-income</v>
      </c>
      <c r="F41" s="31" t="str">
        <f>INDEX('NRI 2025'!$A$6:$I$133,MATCH('T1 NRI R&amp;S'!$C41,'NRI 2025'!$A$6:$A$133,0),3)</f>
        <v>Europe</v>
      </c>
      <c r="I41" s="28">
        <v>37</v>
      </c>
      <c r="J41" s="29" t="s">
        <v>68</v>
      </c>
      <c r="K41" s="105">
        <v>58.45438838372997</v>
      </c>
      <c r="L41" s="29" t="s">
        <v>880</v>
      </c>
      <c r="M41" s="31" t="s">
        <v>10</v>
      </c>
    </row>
    <row r="42" spans="2:13" x14ac:dyDescent="0.45">
      <c r="B42" s="32">
        <v>38</v>
      </c>
      <c r="C42" s="33" t="str">
        <f>INDEX('NRI 2025'!$A$6:$I$133,MATCH('T1 NRI R&amp;S'!$B42,'NRI 2025'!$I$6:$I$133,0),1)</f>
        <v>Malaysia</v>
      </c>
      <c r="D42" s="34">
        <f>INDEX('NRI 2025'!$A$6:$I$133,MATCH('T1 NRI R&amp;S'!$C42,'NRI 2025'!$A$6:$A$133,0),7)</f>
        <v>57.371295521984578</v>
      </c>
      <c r="E42" s="33" t="str">
        <f>INDEX('NRI 2025'!$A$6:$I$133,MATCH('T1 NRI R&amp;S'!$C42,'NRI 2025'!$A$6:$A$133,0),4)</f>
        <v>Upper middle-income</v>
      </c>
      <c r="F42" s="35" t="str">
        <f>INDEX('NRI 2025'!$A$6:$I$133,MATCH('T1 NRI R&amp;S'!$C42,'NRI 2025'!$A$6:$A$133,0),3)</f>
        <v>Asia &amp; Pacific</v>
      </c>
      <c r="I42" s="32">
        <v>38</v>
      </c>
      <c r="J42" s="33" t="s">
        <v>42</v>
      </c>
      <c r="K42" s="106">
        <v>57.371295521984578</v>
      </c>
      <c r="L42" s="33" t="s">
        <v>881</v>
      </c>
      <c r="M42" s="35" t="s">
        <v>31</v>
      </c>
    </row>
    <row r="43" spans="2:13" x14ac:dyDescent="0.45">
      <c r="B43" s="28">
        <v>39</v>
      </c>
      <c r="C43" s="29" t="str">
        <f>INDEX('NRI 2025'!$A$6:$I$133,MATCH('T1 NRI R&amp;S'!$B43,'NRI 2025'!$I$6:$I$133,0),1)</f>
        <v>Cyprus</v>
      </c>
      <c r="D43" s="30">
        <f>INDEX('NRI 2025'!$A$6:$I$133,MATCH('T1 NRI R&amp;S'!$C43,'NRI 2025'!$A$6:$A$133,0),7)</f>
        <v>56.285335017168613</v>
      </c>
      <c r="E43" s="29" t="str">
        <f>INDEX('NRI 2025'!$A$6:$I$133,MATCH('T1 NRI R&amp;S'!$C43,'NRI 2025'!$A$6:$A$133,0),4)</f>
        <v>High-income</v>
      </c>
      <c r="F43" s="31" t="str">
        <f>INDEX('NRI 2025'!$A$6:$I$133,MATCH('T1 NRI R&amp;S'!$C43,'NRI 2025'!$A$6:$A$133,0),3)</f>
        <v>Europe</v>
      </c>
      <c r="I43" s="28">
        <v>39</v>
      </c>
      <c r="J43" s="29" t="s">
        <v>70</v>
      </c>
      <c r="K43" s="105">
        <v>56.285335017168613</v>
      </c>
      <c r="L43" s="29" t="s">
        <v>880</v>
      </c>
      <c r="M43" s="31" t="s">
        <v>10</v>
      </c>
    </row>
    <row r="44" spans="2:13" x14ac:dyDescent="0.45">
      <c r="B44" s="32">
        <v>40</v>
      </c>
      <c r="C44" s="33" t="str">
        <f>INDEX('NRI 2025'!$A$6:$I$133,MATCH('T1 NRI R&amp;S'!$B44,'NRI 2025'!$I$6:$I$133,0),1)</f>
        <v>Viet Nam</v>
      </c>
      <c r="D44" s="34">
        <f>INDEX('NRI 2025'!$A$6:$I$133,MATCH('T1 NRI R&amp;S'!$C44,'NRI 2025'!$A$6:$A$133,0),7)</f>
        <v>55.995793557803687</v>
      </c>
      <c r="E44" s="33" t="str">
        <f>INDEX('NRI 2025'!$A$6:$I$133,MATCH('T1 NRI R&amp;S'!$C44,'NRI 2025'!$A$6:$A$133,0),4)</f>
        <v>Lower middle-income</v>
      </c>
      <c r="F44" s="35" t="str">
        <f>INDEX('NRI 2025'!$A$6:$I$133,MATCH('T1 NRI R&amp;S'!$C44,'NRI 2025'!$A$6:$A$133,0),3)</f>
        <v>Asia &amp; Pacific</v>
      </c>
      <c r="I44" s="32">
        <v>40</v>
      </c>
      <c r="J44" s="33" t="s">
        <v>137</v>
      </c>
      <c r="K44" s="106">
        <v>55.995793557803687</v>
      </c>
      <c r="L44" s="33" t="s">
        <v>882</v>
      </c>
      <c r="M44" s="35" t="s">
        <v>31</v>
      </c>
    </row>
    <row r="45" spans="2:13" x14ac:dyDescent="0.45">
      <c r="B45" s="28">
        <v>41</v>
      </c>
      <c r="C45" s="29" t="str">
        <f>INDEX('NRI 2025'!$A$6:$I$133,MATCH('T1 NRI R&amp;S'!$B45,'NRI 2025'!$I$6:$I$133,0),1)</f>
        <v>Hungary</v>
      </c>
      <c r="D45" s="30">
        <f>INDEX('NRI 2025'!$A$6:$I$133,MATCH('T1 NRI R&amp;S'!$C45,'NRI 2025'!$A$6:$A$133,0),7)</f>
        <v>55.257144996962701</v>
      </c>
      <c r="E45" s="29" t="str">
        <f>INDEX('NRI 2025'!$A$6:$I$133,MATCH('T1 NRI R&amp;S'!$C45,'NRI 2025'!$A$6:$A$133,0),4)</f>
        <v>High-income</v>
      </c>
      <c r="F45" s="31" t="str">
        <f>INDEX('NRI 2025'!$A$6:$I$133,MATCH('T1 NRI R&amp;S'!$C45,'NRI 2025'!$A$6:$A$133,0),3)</f>
        <v>Europe</v>
      </c>
      <c r="I45" s="28">
        <v>41</v>
      </c>
      <c r="J45" s="29" t="s">
        <v>69</v>
      </c>
      <c r="K45" s="105">
        <v>55.257144996962701</v>
      </c>
      <c r="L45" s="29" t="s">
        <v>880</v>
      </c>
      <c r="M45" s="31" t="s">
        <v>10</v>
      </c>
    </row>
    <row r="46" spans="2:13" x14ac:dyDescent="0.45">
      <c r="B46" s="32">
        <v>42</v>
      </c>
      <c r="C46" s="33" t="str">
        <f>INDEX('NRI 2025'!$A$6:$I$133,MATCH('T1 NRI R&amp;S'!$B46,'NRI 2025'!$I$6:$I$133,0),1)</f>
        <v>Costa Rica</v>
      </c>
      <c r="D46" s="34">
        <f>INDEX('NRI 2025'!$A$6:$I$133,MATCH('T1 NRI R&amp;S'!$C46,'NRI 2025'!$A$6:$A$133,0),7)</f>
        <v>54.759719709514499</v>
      </c>
      <c r="E46" s="33" t="str">
        <f>INDEX('NRI 2025'!$A$6:$I$133,MATCH('T1 NRI R&amp;S'!$C46,'NRI 2025'!$A$6:$A$133,0),4)</f>
        <v>High-income</v>
      </c>
      <c r="F46" s="35" t="str">
        <f>INDEX('NRI 2025'!$A$6:$I$133,MATCH('T1 NRI R&amp;S'!$C46,'NRI 2025'!$A$6:$A$133,0),3)</f>
        <v>The Americas</v>
      </c>
      <c r="I46" s="32">
        <v>42</v>
      </c>
      <c r="J46" s="33" t="s">
        <v>81</v>
      </c>
      <c r="K46" s="106">
        <v>54.759719709514499</v>
      </c>
      <c r="L46" s="33" t="s">
        <v>880</v>
      </c>
      <c r="M46" s="35" t="s">
        <v>37</v>
      </c>
    </row>
    <row r="47" spans="2:13" x14ac:dyDescent="0.45">
      <c r="B47" s="28">
        <v>43</v>
      </c>
      <c r="C47" s="29" t="str">
        <f>INDEX('NRI 2025'!$A$6:$I$133,MATCH('T1 NRI R&amp;S'!$B47,'NRI 2025'!$I$6:$I$133,0),1)</f>
        <v>Slovakia</v>
      </c>
      <c r="D47" s="30">
        <f>INDEX('NRI 2025'!$A$6:$I$133,MATCH('T1 NRI R&amp;S'!$C47,'NRI 2025'!$A$6:$A$133,0),7)</f>
        <v>54.674568211370122</v>
      </c>
      <c r="E47" s="29" t="str">
        <f>INDEX('NRI 2025'!$A$6:$I$133,MATCH('T1 NRI R&amp;S'!$C47,'NRI 2025'!$A$6:$A$133,0),4)</f>
        <v>High-income</v>
      </c>
      <c r="F47" s="31" t="str">
        <f>INDEX('NRI 2025'!$A$6:$I$133,MATCH('T1 NRI R&amp;S'!$C47,'NRI 2025'!$A$6:$A$133,0),3)</f>
        <v>Europe</v>
      </c>
      <c r="I47" s="28">
        <v>43</v>
      </c>
      <c r="J47" s="29" t="s">
        <v>67</v>
      </c>
      <c r="K47" s="105">
        <v>54.674568211370122</v>
      </c>
      <c r="L47" s="29" t="s">
        <v>880</v>
      </c>
      <c r="M47" s="31" t="s">
        <v>10</v>
      </c>
    </row>
    <row r="48" spans="2:13" x14ac:dyDescent="0.45">
      <c r="B48" s="32">
        <v>44</v>
      </c>
      <c r="C48" s="33" t="str">
        <f>INDEX('NRI 2025'!$A$6:$I$133,MATCH('T1 NRI R&amp;S'!$B48,'NRI 2025'!$I$6:$I$133,0),1)</f>
        <v>Thailand</v>
      </c>
      <c r="D48" s="34">
        <f>INDEX('NRI 2025'!$A$6:$I$133,MATCH('T1 NRI R&amp;S'!$C48,'NRI 2025'!$A$6:$A$133,0),7)</f>
        <v>54.539157304052829</v>
      </c>
      <c r="E48" s="33" t="str">
        <f>INDEX('NRI 2025'!$A$6:$I$133,MATCH('T1 NRI R&amp;S'!$C48,'NRI 2025'!$A$6:$A$133,0),4)</f>
        <v>Upper middle-income</v>
      </c>
      <c r="F48" s="35" t="str">
        <f>INDEX('NRI 2025'!$A$6:$I$133,MATCH('T1 NRI R&amp;S'!$C48,'NRI 2025'!$A$6:$A$133,0),3)</f>
        <v>Asia &amp; Pacific</v>
      </c>
      <c r="I48" s="32">
        <v>44</v>
      </c>
      <c r="J48" s="33" t="s">
        <v>79</v>
      </c>
      <c r="K48" s="106">
        <v>54.539157304052829</v>
      </c>
      <c r="L48" s="33" t="s">
        <v>881</v>
      </c>
      <c r="M48" s="35" t="s">
        <v>31</v>
      </c>
    </row>
    <row r="49" spans="2:13" x14ac:dyDescent="0.45">
      <c r="B49" s="28">
        <v>45</v>
      </c>
      <c r="C49" s="29" t="str">
        <f>INDEX('NRI 2025'!$A$6:$I$133,MATCH('T1 NRI R&amp;S'!$B49,'NRI 2025'!$I$6:$I$133,0),1)</f>
        <v>India</v>
      </c>
      <c r="D49" s="30">
        <f>INDEX('NRI 2025'!$A$6:$I$133,MATCH('T1 NRI R&amp;S'!$C49,'NRI 2025'!$A$6:$A$133,0),7)</f>
        <v>54.429208830950749</v>
      </c>
      <c r="E49" s="29" t="str">
        <f>INDEX('NRI 2025'!$A$6:$I$133,MATCH('T1 NRI R&amp;S'!$C49,'NRI 2025'!$A$6:$A$133,0),4)</f>
        <v>Lower middle-income</v>
      </c>
      <c r="F49" s="31" t="str">
        <f>INDEX('NRI 2025'!$A$6:$I$133,MATCH('T1 NRI R&amp;S'!$C49,'NRI 2025'!$A$6:$A$133,0),3)</f>
        <v>Asia &amp; Pacific</v>
      </c>
      <c r="I49" s="28">
        <v>45</v>
      </c>
      <c r="J49" s="29" t="s">
        <v>44</v>
      </c>
      <c r="K49" s="105">
        <v>54.429208830950749</v>
      </c>
      <c r="L49" s="29" t="s">
        <v>882</v>
      </c>
      <c r="M49" s="31" t="s">
        <v>31</v>
      </c>
    </row>
    <row r="50" spans="2:13" x14ac:dyDescent="0.45">
      <c r="B50" s="32">
        <v>46</v>
      </c>
      <c r="C50" s="33" t="str">
        <f>INDEX('NRI 2025'!$A$6:$I$133,MATCH('T1 NRI R&amp;S'!$B50,'NRI 2025'!$I$6:$I$133,0),1)</f>
        <v>Ukraine</v>
      </c>
      <c r="D50" s="34">
        <f>INDEX('NRI 2025'!$A$6:$I$133,MATCH('T1 NRI R&amp;S'!$C50,'NRI 2025'!$A$6:$A$133,0),7)</f>
        <v>54.300282179398216</v>
      </c>
      <c r="E50" s="33" t="str">
        <f>INDEX('NRI 2025'!$A$6:$I$133,MATCH('T1 NRI R&amp;S'!$C50,'NRI 2025'!$A$6:$A$133,0),4)</f>
        <v>Upper middle-income</v>
      </c>
      <c r="F50" s="35" t="str">
        <f>INDEX('NRI 2025'!$A$6:$I$133,MATCH('T1 NRI R&amp;S'!$C50,'NRI 2025'!$A$6:$A$133,0),3)</f>
        <v>Europe</v>
      </c>
      <c r="I50" s="32">
        <v>46</v>
      </c>
      <c r="J50" s="33" t="s">
        <v>32</v>
      </c>
      <c r="K50" s="106">
        <v>54.300282179398216</v>
      </c>
      <c r="L50" s="33" t="s">
        <v>881</v>
      </c>
      <c r="M50" s="35" t="s">
        <v>10</v>
      </c>
    </row>
    <row r="51" spans="2:13" x14ac:dyDescent="0.45">
      <c r="B51" s="28">
        <v>47</v>
      </c>
      <c r="C51" s="29" t="str">
        <f>INDEX('NRI 2025'!$A$6:$I$133,MATCH('T1 NRI R&amp;S'!$B51,'NRI 2025'!$I$6:$I$133,0),1)</f>
        <v>Serbia</v>
      </c>
      <c r="D51" s="30">
        <f>INDEX('NRI 2025'!$A$6:$I$133,MATCH('T1 NRI R&amp;S'!$C51,'NRI 2025'!$A$6:$A$133,0),7)</f>
        <v>54.153166255122869</v>
      </c>
      <c r="E51" s="29" t="str">
        <f>INDEX('NRI 2025'!$A$6:$I$133,MATCH('T1 NRI R&amp;S'!$C51,'NRI 2025'!$A$6:$A$133,0),4)</f>
        <v>Upper middle-income</v>
      </c>
      <c r="F51" s="31" t="str">
        <f>INDEX('NRI 2025'!$A$6:$I$133,MATCH('T1 NRI R&amp;S'!$C51,'NRI 2025'!$A$6:$A$133,0),3)</f>
        <v>Europe</v>
      </c>
      <c r="I51" s="28">
        <v>47</v>
      </c>
      <c r="J51" s="29" t="s">
        <v>82</v>
      </c>
      <c r="K51" s="105">
        <v>54.153166255122869</v>
      </c>
      <c r="L51" s="29" t="s">
        <v>881</v>
      </c>
      <c r="M51" s="31" t="s">
        <v>10</v>
      </c>
    </row>
    <row r="52" spans="2:13" x14ac:dyDescent="0.45">
      <c r="B52" s="32">
        <v>48</v>
      </c>
      <c r="C52" s="33" t="str">
        <f>INDEX('NRI 2025'!$A$6:$I$133,MATCH('T1 NRI R&amp;S'!$B52,'NRI 2025'!$I$6:$I$133,0),1)</f>
        <v>Uruguay</v>
      </c>
      <c r="D52" s="34">
        <f>INDEX('NRI 2025'!$A$6:$I$133,MATCH('T1 NRI R&amp;S'!$C52,'NRI 2025'!$A$6:$A$133,0),7)</f>
        <v>54.038316988723977</v>
      </c>
      <c r="E52" s="33" t="str">
        <f>INDEX('NRI 2025'!$A$6:$I$133,MATCH('T1 NRI R&amp;S'!$C52,'NRI 2025'!$A$6:$A$133,0),4)</f>
        <v>High-income</v>
      </c>
      <c r="F52" s="35" t="str">
        <f>INDEX('NRI 2025'!$A$6:$I$133,MATCH('T1 NRI R&amp;S'!$C52,'NRI 2025'!$A$6:$A$133,0),3)</f>
        <v>The Americas</v>
      </c>
      <c r="I52" s="32">
        <v>48</v>
      </c>
      <c r="J52" s="33" t="s">
        <v>75</v>
      </c>
      <c r="K52" s="106">
        <v>54.038316988723977</v>
      </c>
      <c r="L52" s="33" t="s">
        <v>880</v>
      </c>
      <c r="M52" s="35" t="s">
        <v>37</v>
      </c>
    </row>
    <row r="53" spans="2:13" x14ac:dyDescent="0.45">
      <c r="B53" s="28">
        <v>49</v>
      </c>
      <c r="C53" s="29" t="str">
        <f>INDEX('NRI 2025'!$A$6:$I$133,MATCH('T1 NRI R&amp;S'!$B53,'NRI 2025'!$I$6:$I$133,0),1)</f>
        <v>Indonesia</v>
      </c>
      <c r="D53" s="30">
        <f>INDEX('NRI 2025'!$A$6:$I$133,MATCH('T1 NRI R&amp;S'!$C53,'NRI 2025'!$A$6:$A$133,0),7)</f>
        <v>53.749827667186274</v>
      </c>
      <c r="E53" s="29" t="str">
        <f>INDEX('NRI 2025'!$A$6:$I$133,MATCH('T1 NRI R&amp;S'!$C53,'NRI 2025'!$A$6:$A$133,0),4)</f>
        <v>Upper middle-income</v>
      </c>
      <c r="F53" s="31" t="str">
        <f>INDEX('NRI 2025'!$A$6:$I$133,MATCH('T1 NRI R&amp;S'!$C53,'NRI 2025'!$A$6:$A$133,0),3)</f>
        <v>Asia &amp; Pacific</v>
      </c>
      <c r="I53" s="28">
        <v>49</v>
      </c>
      <c r="J53" s="29" t="s">
        <v>89</v>
      </c>
      <c r="K53" s="105">
        <v>53.749827667186274</v>
      </c>
      <c r="L53" s="29" t="s">
        <v>881</v>
      </c>
      <c r="M53" s="31" t="s">
        <v>31</v>
      </c>
    </row>
    <row r="54" spans="2:13" x14ac:dyDescent="0.45">
      <c r="B54" s="32">
        <v>50</v>
      </c>
      <c r="C54" s="33" t="str">
        <f>INDEX('NRI 2025'!$A$6:$I$133,MATCH('T1 NRI R&amp;S'!$B54,'NRI 2025'!$I$6:$I$133,0),1)</f>
        <v>Qatar</v>
      </c>
      <c r="D54" s="34">
        <f>INDEX('NRI 2025'!$A$6:$I$133,MATCH('T1 NRI R&amp;S'!$C54,'NRI 2025'!$A$6:$A$133,0),7)</f>
        <v>53.668917355602844</v>
      </c>
      <c r="E54" s="33" t="str">
        <f>INDEX('NRI 2025'!$A$6:$I$133,MATCH('T1 NRI R&amp;S'!$C54,'NRI 2025'!$A$6:$A$133,0),4)</f>
        <v>High-income</v>
      </c>
      <c r="F54" s="35" t="str">
        <f>INDEX('NRI 2025'!$A$6:$I$133,MATCH('T1 NRI R&amp;S'!$C54,'NRI 2025'!$A$6:$A$133,0),3)</f>
        <v>Arab States</v>
      </c>
      <c r="I54" s="32">
        <v>50</v>
      </c>
      <c r="J54" s="33" t="s">
        <v>28</v>
      </c>
      <c r="K54" s="106">
        <v>53.668917355602844</v>
      </c>
      <c r="L54" s="33" t="s">
        <v>880</v>
      </c>
      <c r="M54" s="35" t="s">
        <v>29</v>
      </c>
    </row>
    <row r="55" spans="2:13" x14ac:dyDescent="0.45">
      <c r="B55" s="28">
        <v>51</v>
      </c>
      <c r="C55" s="29" t="str">
        <f>INDEX('NRI 2025'!$A$6:$I$133,MATCH('T1 NRI R&amp;S'!$B55,'NRI 2025'!$I$6:$I$133,0),1)</f>
        <v>Brazil</v>
      </c>
      <c r="D55" s="30">
        <f>INDEX('NRI 2025'!$A$6:$I$133,MATCH('T1 NRI R&amp;S'!$C55,'NRI 2025'!$A$6:$A$133,0),7)</f>
        <v>53.643450580246274</v>
      </c>
      <c r="E55" s="29" t="str">
        <f>INDEX('NRI 2025'!$A$6:$I$133,MATCH('T1 NRI R&amp;S'!$C55,'NRI 2025'!$A$6:$A$133,0),4)</f>
        <v>Upper middle-income</v>
      </c>
      <c r="F55" s="31" t="str">
        <f>INDEX('NRI 2025'!$A$6:$I$133,MATCH('T1 NRI R&amp;S'!$C55,'NRI 2025'!$A$6:$A$133,0),3)</f>
        <v>The Americas</v>
      </c>
      <c r="I55" s="28">
        <v>51</v>
      </c>
      <c r="J55" s="29" t="s">
        <v>78</v>
      </c>
      <c r="K55" s="105">
        <v>53.643450580246274</v>
      </c>
      <c r="L55" s="29" t="s">
        <v>881</v>
      </c>
      <c r="M55" s="31" t="s">
        <v>37</v>
      </c>
    </row>
    <row r="56" spans="2:13" x14ac:dyDescent="0.45">
      <c r="B56" s="32">
        <v>52</v>
      </c>
      <c r="C56" s="33" t="str">
        <f>INDEX('NRI 2025'!$A$6:$I$133,MATCH('T1 NRI R&amp;S'!$B56,'NRI 2025'!$I$6:$I$133,0),1)</f>
        <v>Romania</v>
      </c>
      <c r="D56" s="34">
        <f>INDEX('NRI 2025'!$A$6:$I$133,MATCH('T1 NRI R&amp;S'!$C56,'NRI 2025'!$A$6:$A$133,0),7)</f>
        <v>53.162763456498382</v>
      </c>
      <c r="E56" s="33" t="str">
        <f>INDEX('NRI 2025'!$A$6:$I$133,MATCH('T1 NRI R&amp;S'!$C56,'NRI 2025'!$A$6:$A$133,0),4)</f>
        <v>High-income</v>
      </c>
      <c r="F56" s="35" t="str">
        <f>INDEX('NRI 2025'!$A$6:$I$133,MATCH('T1 NRI R&amp;S'!$C56,'NRI 2025'!$A$6:$A$133,0),3)</f>
        <v>Europe</v>
      </c>
      <c r="I56" s="32">
        <v>52</v>
      </c>
      <c r="J56" s="33" t="s">
        <v>73</v>
      </c>
      <c r="K56" s="106">
        <v>53.162763456498382</v>
      </c>
      <c r="L56" s="33" t="s">
        <v>880</v>
      </c>
      <c r="M56" s="35" t="s">
        <v>10</v>
      </c>
    </row>
    <row r="57" spans="2:13" x14ac:dyDescent="0.45">
      <c r="B57" s="28">
        <v>53</v>
      </c>
      <c r="C57" s="29" t="str">
        <f>INDEX('NRI 2025'!$A$6:$I$133,MATCH('T1 NRI R&amp;S'!$B57,'NRI 2025'!$I$6:$I$133,0),1)</f>
        <v>Croatia</v>
      </c>
      <c r="D57" s="30">
        <f>INDEX('NRI 2025'!$A$6:$I$133,MATCH('T1 NRI R&amp;S'!$C57,'NRI 2025'!$A$6:$A$133,0),7)</f>
        <v>53.075752776588878</v>
      </c>
      <c r="E57" s="29" t="str">
        <f>INDEX('NRI 2025'!$A$6:$I$133,MATCH('T1 NRI R&amp;S'!$C57,'NRI 2025'!$A$6:$A$133,0),4)</f>
        <v>High-income</v>
      </c>
      <c r="F57" s="31" t="str">
        <f>INDEX('NRI 2025'!$A$6:$I$133,MATCH('T1 NRI R&amp;S'!$C57,'NRI 2025'!$A$6:$A$133,0),3)</f>
        <v>Europe</v>
      </c>
      <c r="I57" s="28">
        <v>53</v>
      </c>
      <c r="J57" s="29" t="s">
        <v>71</v>
      </c>
      <c r="K57" s="105">
        <v>53.075752776588878</v>
      </c>
      <c r="L57" s="29" t="s">
        <v>880</v>
      </c>
      <c r="M57" s="31" t="s">
        <v>10</v>
      </c>
    </row>
    <row r="58" spans="2:13" x14ac:dyDescent="0.45">
      <c r="B58" s="32">
        <v>54</v>
      </c>
      <c r="C58" s="33" t="str">
        <f>INDEX('NRI 2025'!$A$6:$I$133,MATCH('T1 NRI R&amp;S'!$B58,'NRI 2025'!$I$6:$I$133,0),1)</f>
        <v>Greece</v>
      </c>
      <c r="D58" s="34">
        <f>INDEX('NRI 2025'!$A$6:$I$133,MATCH('T1 NRI R&amp;S'!$C58,'NRI 2025'!$A$6:$A$133,0),7)</f>
        <v>52.975226050180396</v>
      </c>
      <c r="E58" s="33" t="str">
        <f>INDEX('NRI 2025'!$A$6:$I$133,MATCH('T1 NRI R&amp;S'!$C58,'NRI 2025'!$A$6:$A$133,0),4)</f>
        <v>High-income</v>
      </c>
      <c r="F58" s="35" t="str">
        <f>INDEX('NRI 2025'!$A$6:$I$133,MATCH('T1 NRI R&amp;S'!$C58,'NRI 2025'!$A$6:$A$133,0),3)</f>
        <v>Europe</v>
      </c>
      <c r="I58" s="32">
        <v>54</v>
      </c>
      <c r="J58" s="33" t="s">
        <v>72</v>
      </c>
      <c r="K58" s="106">
        <v>52.975226050180396</v>
      </c>
      <c r="L58" s="33" t="s">
        <v>880</v>
      </c>
      <c r="M58" s="35" t="s">
        <v>10</v>
      </c>
    </row>
    <row r="59" spans="2:13" x14ac:dyDescent="0.45">
      <c r="B59" s="28">
        <v>55</v>
      </c>
      <c r="C59" s="29" t="str">
        <f>INDEX('NRI 2025'!$A$6:$I$133,MATCH('T1 NRI R&amp;S'!$B59,'NRI 2025'!$I$6:$I$133,0),1)</f>
        <v>Bulgaria</v>
      </c>
      <c r="D59" s="30">
        <f>INDEX('NRI 2025'!$A$6:$I$133,MATCH('T1 NRI R&amp;S'!$C59,'NRI 2025'!$A$6:$A$133,0),7)</f>
        <v>52.94119396401134</v>
      </c>
      <c r="E59" s="29" t="str">
        <f>INDEX('NRI 2025'!$A$6:$I$133,MATCH('T1 NRI R&amp;S'!$C59,'NRI 2025'!$A$6:$A$133,0),4)</f>
        <v>High-income</v>
      </c>
      <c r="F59" s="31" t="str">
        <f>INDEX('NRI 2025'!$A$6:$I$133,MATCH('T1 NRI R&amp;S'!$C59,'NRI 2025'!$A$6:$A$133,0),3)</f>
        <v>Europe</v>
      </c>
      <c r="I59" s="28">
        <v>55</v>
      </c>
      <c r="J59" s="29" t="s">
        <v>76</v>
      </c>
      <c r="K59" s="105">
        <v>52.94119396401134</v>
      </c>
      <c r="L59" s="29" t="s">
        <v>880</v>
      </c>
      <c r="M59" s="31" t="s">
        <v>10</v>
      </c>
    </row>
    <row r="60" spans="2:13" x14ac:dyDescent="0.45">
      <c r="B60" s="32">
        <v>56</v>
      </c>
      <c r="C60" s="33" t="str">
        <f>INDEX('NRI 2025'!$A$6:$I$133,MATCH('T1 NRI R&amp;S'!$B60,'NRI 2025'!$I$6:$I$133,0),1)</f>
        <v>Russian Federation</v>
      </c>
      <c r="D60" s="34">
        <f>INDEX('NRI 2025'!$A$6:$I$133,MATCH('T1 NRI R&amp;S'!$C60,'NRI 2025'!$A$6:$A$133,0),7)</f>
        <v>52.013781269349735</v>
      </c>
      <c r="E60" s="33" t="str">
        <f>INDEX('NRI 2025'!$A$6:$I$133,MATCH('T1 NRI R&amp;S'!$C60,'NRI 2025'!$A$6:$A$133,0),4)</f>
        <v>High-income</v>
      </c>
      <c r="F60" s="35" t="str">
        <f>INDEX('NRI 2025'!$A$6:$I$133,MATCH('T1 NRI R&amp;S'!$C60,'NRI 2025'!$A$6:$A$133,0),3)</f>
        <v>CIS</v>
      </c>
      <c r="I60" s="32">
        <v>56</v>
      </c>
      <c r="J60" s="33" t="s">
        <v>136</v>
      </c>
      <c r="K60" s="106">
        <v>52.013781269349735</v>
      </c>
      <c r="L60" s="33" t="s">
        <v>880</v>
      </c>
      <c r="M60" s="35" t="s">
        <v>34</v>
      </c>
    </row>
    <row r="61" spans="2:13" x14ac:dyDescent="0.45">
      <c r="B61" s="28">
        <v>57</v>
      </c>
      <c r="C61" s="29" t="str">
        <f>INDEX('NRI 2025'!$A$6:$I$133,MATCH('T1 NRI R&amp;S'!$B61,'NRI 2025'!$I$6:$I$133,0),1)</f>
        <v>Chile</v>
      </c>
      <c r="D61" s="30">
        <f>INDEX('NRI 2025'!$A$6:$I$133,MATCH('T1 NRI R&amp;S'!$C61,'NRI 2025'!$A$6:$A$133,0),7)</f>
        <v>51.8656449533879</v>
      </c>
      <c r="E61" s="29" t="str">
        <f>INDEX('NRI 2025'!$A$6:$I$133,MATCH('T1 NRI R&amp;S'!$C61,'NRI 2025'!$A$6:$A$133,0),4)</f>
        <v>High-income</v>
      </c>
      <c r="F61" s="31" t="str">
        <f>INDEX('NRI 2025'!$A$6:$I$133,MATCH('T1 NRI R&amp;S'!$C61,'NRI 2025'!$A$6:$A$133,0),3)</f>
        <v>The Americas</v>
      </c>
      <c r="I61" s="28">
        <v>57</v>
      </c>
      <c r="J61" s="29" t="s">
        <v>36</v>
      </c>
      <c r="K61" s="105">
        <v>51.8656449533879</v>
      </c>
      <c r="L61" s="29" t="s">
        <v>880</v>
      </c>
      <c r="M61" s="31" t="s">
        <v>37</v>
      </c>
    </row>
    <row r="62" spans="2:13" x14ac:dyDescent="0.45">
      <c r="B62" s="32">
        <v>58</v>
      </c>
      <c r="C62" s="33" t="str">
        <f>INDEX('NRI 2025'!$A$6:$I$133,MATCH('T1 NRI R&amp;S'!$B62,'NRI 2025'!$I$6:$I$133,0),1)</f>
        <v>Mauritius</v>
      </c>
      <c r="D62" s="34">
        <f>INDEX('NRI 2025'!$A$6:$I$133,MATCH('T1 NRI R&amp;S'!$C62,'NRI 2025'!$A$6:$A$133,0),7)</f>
        <v>51.791654224361018</v>
      </c>
      <c r="E62" s="33" t="str">
        <f>INDEX('NRI 2025'!$A$6:$I$133,MATCH('T1 NRI R&amp;S'!$C62,'NRI 2025'!$A$6:$A$133,0),4)</f>
        <v>Upper middle-income</v>
      </c>
      <c r="F62" s="35" t="str">
        <f>INDEX('NRI 2025'!$A$6:$I$133,MATCH('T1 NRI R&amp;S'!$C62,'NRI 2025'!$A$6:$A$133,0),3)</f>
        <v>Africa</v>
      </c>
      <c r="I62" s="32">
        <v>58</v>
      </c>
      <c r="J62" s="33" t="s">
        <v>23</v>
      </c>
      <c r="K62" s="106">
        <v>51.791654224361018</v>
      </c>
      <c r="L62" s="33" t="s">
        <v>881</v>
      </c>
      <c r="M62" s="35" t="s">
        <v>25</v>
      </c>
    </row>
    <row r="63" spans="2:13" x14ac:dyDescent="0.45">
      <c r="B63" s="28">
        <v>59</v>
      </c>
      <c r="C63" s="29" t="str">
        <f>INDEX('NRI 2025'!$A$6:$I$133,MATCH('T1 NRI R&amp;S'!$B63,'NRI 2025'!$I$6:$I$133,0),1)</f>
        <v>Oman</v>
      </c>
      <c r="D63" s="30">
        <f>INDEX('NRI 2025'!$A$6:$I$133,MATCH('T1 NRI R&amp;S'!$C63,'NRI 2025'!$A$6:$A$133,0),7)</f>
        <v>51.611438527834011</v>
      </c>
      <c r="E63" s="29" t="str">
        <f>INDEX('NRI 2025'!$A$6:$I$133,MATCH('T1 NRI R&amp;S'!$C63,'NRI 2025'!$A$6:$A$133,0),4)</f>
        <v>High-income</v>
      </c>
      <c r="F63" s="31" t="str">
        <f>INDEX('NRI 2025'!$A$6:$I$133,MATCH('T1 NRI R&amp;S'!$C63,'NRI 2025'!$A$6:$A$133,0),3)</f>
        <v>Arab States</v>
      </c>
      <c r="I63" s="28">
        <v>59</v>
      </c>
      <c r="J63" s="29" t="s">
        <v>74</v>
      </c>
      <c r="K63" s="105">
        <v>51.611438527834011</v>
      </c>
      <c r="L63" s="29" t="s">
        <v>880</v>
      </c>
      <c r="M63" s="31" t="s">
        <v>29</v>
      </c>
    </row>
    <row r="64" spans="2:13" x14ac:dyDescent="0.45">
      <c r="B64" s="32">
        <v>60</v>
      </c>
      <c r="C64" s="33" t="str">
        <f>INDEX('NRI 2025'!$A$6:$I$133,MATCH('T1 NRI R&amp;S'!$B64,'NRI 2025'!$I$6:$I$133,0),1)</f>
        <v>Turkiye</v>
      </c>
      <c r="D64" s="34">
        <f>INDEX('NRI 2025'!$A$6:$I$133,MATCH('T1 NRI R&amp;S'!$C64,'NRI 2025'!$A$6:$A$133,0),7)</f>
        <v>51.274282225540183</v>
      </c>
      <c r="E64" s="33" t="str">
        <f>INDEX('NRI 2025'!$A$6:$I$133,MATCH('T1 NRI R&amp;S'!$C64,'NRI 2025'!$A$6:$A$133,0),4)</f>
        <v>Upper middle-income</v>
      </c>
      <c r="F64" s="35" t="str">
        <f>INDEX('NRI 2025'!$A$6:$I$133,MATCH('T1 NRI R&amp;S'!$C64,'NRI 2025'!$A$6:$A$133,0),3)</f>
        <v>Europe</v>
      </c>
      <c r="I64" s="32">
        <v>60</v>
      </c>
      <c r="J64" s="33" t="s">
        <v>337</v>
      </c>
      <c r="K64" s="106">
        <v>51.274282225540183</v>
      </c>
      <c r="L64" s="33" t="s">
        <v>881</v>
      </c>
      <c r="M64" s="35" t="s">
        <v>10</v>
      </c>
    </row>
    <row r="65" spans="2:13" x14ac:dyDescent="0.45">
      <c r="B65" s="28">
        <v>61</v>
      </c>
      <c r="C65" s="29" t="str">
        <f>INDEX('NRI 2025'!$A$6:$I$133,MATCH('T1 NRI R&amp;S'!$B65,'NRI 2025'!$I$6:$I$133,0),1)</f>
        <v>Georgia</v>
      </c>
      <c r="D65" s="30">
        <f>INDEX('NRI 2025'!$A$6:$I$133,MATCH('T1 NRI R&amp;S'!$C65,'NRI 2025'!$A$6:$A$133,0),7)</f>
        <v>51.112501435438681</v>
      </c>
      <c r="E65" s="29" t="str">
        <f>INDEX('NRI 2025'!$A$6:$I$133,MATCH('T1 NRI R&amp;S'!$C65,'NRI 2025'!$A$6:$A$133,0),4)</f>
        <v>Upper middle-income</v>
      </c>
      <c r="F65" s="31" t="str">
        <f>INDEX('NRI 2025'!$A$6:$I$133,MATCH('T1 NRI R&amp;S'!$C65,'NRI 2025'!$A$6:$A$133,0),3)</f>
        <v>Europe</v>
      </c>
      <c r="I65" s="28">
        <v>61</v>
      </c>
      <c r="J65" s="29" t="s">
        <v>90</v>
      </c>
      <c r="K65" s="105">
        <v>51.112501435438681</v>
      </c>
      <c r="L65" s="29" t="s">
        <v>881</v>
      </c>
      <c r="M65" s="31" t="s">
        <v>10</v>
      </c>
    </row>
    <row r="66" spans="2:13" x14ac:dyDescent="0.45">
      <c r="B66" s="32">
        <v>62</v>
      </c>
      <c r="C66" s="33" t="str">
        <f>INDEX('NRI 2025'!$A$6:$I$133,MATCH('T1 NRI R&amp;S'!$B66,'NRI 2025'!$I$6:$I$133,0),1)</f>
        <v>Armenia</v>
      </c>
      <c r="D66" s="34">
        <f>INDEX('NRI 2025'!$A$6:$I$133,MATCH('T1 NRI R&amp;S'!$C66,'NRI 2025'!$A$6:$A$133,0),7)</f>
        <v>50.851487743673303</v>
      </c>
      <c r="E66" s="33" t="str">
        <f>INDEX('NRI 2025'!$A$6:$I$133,MATCH('T1 NRI R&amp;S'!$C66,'NRI 2025'!$A$6:$A$133,0),4)</f>
        <v>Upper middle-income</v>
      </c>
      <c r="F66" s="35" t="str">
        <f>INDEX('NRI 2025'!$A$6:$I$133,MATCH('T1 NRI R&amp;S'!$C66,'NRI 2025'!$A$6:$A$133,0),3)</f>
        <v>CIS</v>
      </c>
      <c r="I66" s="32">
        <v>62</v>
      </c>
      <c r="J66" s="33" t="s">
        <v>33</v>
      </c>
      <c r="K66" s="106">
        <v>50.851487743673303</v>
      </c>
      <c r="L66" s="33" t="s">
        <v>881</v>
      </c>
      <c r="M66" s="35" t="s">
        <v>34</v>
      </c>
    </row>
    <row r="67" spans="2:13" x14ac:dyDescent="0.45">
      <c r="B67" s="28">
        <v>63</v>
      </c>
      <c r="C67" s="29" t="str">
        <f>INDEX('NRI 2025'!$A$6:$I$133,MATCH('T1 NRI R&amp;S'!$B67,'NRI 2025'!$I$6:$I$133,0),1)</f>
        <v>Colombia</v>
      </c>
      <c r="D67" s="30">
        <f>INDEX('NRI 2025'!$A$6:$I$133,MATCH('T1 NRI R&amp;S'!$C67,'NRI 2025'!$A$6:$A$133,0),7)</f>
        <v>49.674014916864586</v>
      </c>
      <c r="E67" s="29" t="str">
        <f>INDEX('NRI 2025'!$A$6:$I$133,MATCH('T1 NRI R&amp;S'!$C67,'NRI 2025'!$A$6:$A$133,0),4)</f>
        <v>Upper middle-income</v>
      </c>
      <c r="F67" s="31" t="str">
        <f>INDEX('NRI 2025'!$A$6:$I$133,MATCH('T1 NRI R&amp;S'!$C67,'NRI 2025'!$A$6:$A$133,0),3)</f>
        <v>The Americas</v>
      </c>
      <c r="I67" s="28">
        <v>63</v>
      </c>
      <c r="J67" s="29" t="s">
        <v>88</v>
      </c>
      <c r="K67" s="105">
        <v>49.674014916864586</v>
      </c>
      <c r="L67" s="29" t="s">
        <v>881</v>
      </c>
      <c r="M67" s="31" t="s">
        <v>37</v>
      </c>
    </row>
    <row r="68" spans="2:13" x14ac:dyDescent="0.45">
      <c r="B68" s="32">
        <v>64</v>
      </c>
      <c r="C68" s="33" t="str">
        <f>INDEX('NRI 2025'!$A$6:$I$133,MATCH('T1 NRI R&amp;S'!$B68,'NRI 2025'!$I$6:$I$133,0),1)</f>
        <v>Montenegro</v>
      </c>
      <c r="D68" s="34">
        <f>INDEX('NRI 2025'!$A$6:$I$133,MATCH('T1 NRI R&amp;S'!$C68,'NRI 2025'!$A$6:$A$133,0),7)</f>
        <v>49.203182863652643</v>
      </c>
      <c r="E68" s="33" t="str">
        <f>INDEX('NRI 2025'!$A$6:$I$133,MATCH('T1 NRI R&amp;S'!$C68,'NRI 2025'!$A$6:$A$133,0),4)</f>
        <v>Upper middle-income</v>
      </c>
      <c r="F68" s="35" t="str">
        <f>INDEX('NRI 2025'!$A$6:$I$133,MATCH('T1 NRI R&amp;S'!$C68,'NRI 2025'!$A$6:$A$133,0),3)</f>
        <v>Europe</v>
      </c>
      <c r="I68" s="32">
        <v>64</v>
      </c>
      <c r="J68" s="33" t="s">
        <v>86</v>
      </c>
      <c r="K68" s="106">
        <v>49.203182863652643</v>
      </c>
      <c r="L68" s="33" t="s">
        <v>881</v>
      </c>
      <c r="M68" s="35" t="s">
        <v>10</v>
      </c>
    </row>
    <row r="69" spans="2:13" x14ac:dyDescent="0.45">
      <c r="B69" s="28">
        <v>65</v>
      </c>
      <c r="C69" s="29" t="str">
        <f>INDEX('NRI 2025'!$A$6:$I$133,MATCH('T1 NRI R&amp;S'!$B69,'NRI 2025'!$I$6:$I$133,0),1)</f>
        <v>Kazakhstan</v>
      </c>
      <c r="D69" s="30">
        <f>INDEX('NRI 2025'!$A$6:$I$133,MATCH('T1 NRI R&amp;S'!$C69,'NRI 2025'!$A$6:$A$133,0),7)</f>
        <v>49.056881574280467</v>
      </c>
      <c r="E69" s="29" t="str">
        <f>INDEX('NRI 2025'!$A$6:$I$133,MATCH('T1 NRI R&amp;S'!$C69,'NRI 2025'!$A$6:$A$133,0),4)</f>
        <v>Upper middle-income</v>
      </c>
      <c r="F69" s="31" t="str">
        <f>INDEX('NRI 2025'!$A$6:$I$133,MATCH('T1 NRI R&amp;S'!$C69,'NRI 2025'!$A$6:$A$133,0),3)</f>
        <v>CIS</v>
      </c>
      <c r="I69" s="28">
        <v>65</v>
      </c>
      <c r="J69" s="29" t="s">
        <v>85</v>
      </c>
      <c r="K69" s="105">
        <v>49.056881574280467</v>
      </c>
      <c r="L69" s="29" t="s">
        <v>881</v>
      </c>
      <c r="M69" s="31" t="s">
        <v>34</v>
      </c>
    </row>
    <row r="70" spans="2:13" x14ac:dyDescent="0.45">
      <c r="B70" s="32">
        <v>66</v>
      </c>
      <c r="C70" s="33" t="str">
        <f>INDEX('NRI 2025'!$A$6:$I$133,MATCH('T1 NRI R&amp;S'!$B70,'NRI 2025'!$I$6:$I$133,0),1)</f>
        <v>Philippines</v>
      </c>
      <c r="D70" s="34">
        <f>INDEX('NRI 2025'!$A$6:$I$133,MATCH('T1 NRI R&amp;S'!$C70,'NRI 2025'!$A$6:$A$133,0),7)</f>
        <v>48.894877992294312</v>
      </c>
      <c r="E70" s="33" t="str">
        <f>INDEX('NRI 2025'!$A$6:$I$133,MATCH('T1 NRI R&amp;S'!$C70,'NRI 2025'!$A$6:$A$133,0),4)</f>
        <v>Lower middle-income</v>
      </c>
      <c r="F70" s="35" t="str">
        <f>INDEX('NRI 2025'!$A$6:$I$133,MATCH('T1 NRI R&amp;S'!$C70,'NRI 2025'!$A$6:$A$133,0),3)</f>
        <v>Asia &amp; Pacific</v>
      </c>
      <c r="I70" s="32">
        <v>66</v>
      </c>
      <c r="J70" s="33" t="s">
        <v>100</v>
      </c>
      <c r="K70" s="106">
        <v>48.894877992294312</v>
      </c>
      <c r="L70" s="33" t="s">
        <v>882</v>
      </c>
      <c r="M70" s="35" t="s">
        <v>31</v>
      </c>
    </row>
    <row r="71" spans="2:13" x14ac:dyDescent="0.45">
      <c r="B71" s="28">
        <v>67</v>
      </c>
      <c r="C71" s="29" t="str">
        <f>INDEX('NRI 2025'!$A$6:$I$133,MATCH('T1 NRI R&amp;S'!$B71,'NRI 2025'!$I$6:$I$133,0),1)</f>
        <v>Mexico</v>
      </c>
      <c r="D71" s="30">
        <f>INDEX('NRI 2025'!$A$6:$I$133,MATCH('T1 NRI R&amp;S'!$C71,'NRI 2025'!$A$6:$A$133,0),7)</f>
        <v>48.293415107062799</v>
      </c>
      <c r="E71" s="29" t="str">
        <f>INDEX('NRI 2025'!$A$6:$I$133,MATCH('T1 NRI R&amp;S'!$C71,'NRI 2025'!$A$6:$A$133,0),4)</f>
        <v>Upper middle-income</v>
      </c>
      <c r="F71" s="31" t="str">
        <f>INDEX('NRI 2025'!$A$6:$I$133,MATCH('T1 NRI R&amp;S'!$C71,'NRI 2025'!$A$6:$A$133,0),3)</f>
        <v>The Americas</v>
      </c>
      <c r="I71" s="28">
        <v>67</v>
      </c>
      <c r="J71" s="29" t="s">
        <v>84</v>
      </c>
      <c r="K71" s="105">
        <v>48.293415107062799</v>
      </c>
      <c r="L71" s="29" t="s">
        <v>881</v>
      </c>
      <c r="M71" s="31" t="s">
        <v>37</v>
      </c>
    </row>
    <row r="72" spans="2:13" x14ac:dyDescent="0.45">
      <c r="B72" s="32">
        <v>68</v>
      </c>
      <c r="C72" s="33" t="str">
        <f>INDEX('NRI 2025'!$A$6:$I$133,MATCH('T1 NRI R&amp;S'!$B72,'NRI 2025'!$I$6:$I$133,0),1)</f>
        <v>Argentina</v>
      </c>
      <c r="D72" s="34">
        <f>INDEX('NRI 2025'!$A$6:$I$133,MATCH('T1 NRI R&amp;S'!$C72,'NRI 2025'!$A$6:$A$133,0),7)</f>
        <v>48.141052918344542</v>
      </c>
      <c r="E72" s="33" t="str">
        <f>INDEX('NRI 2025'!$A$6:$I$133,MATCH('T1 NRI R&amp;S'!$C72,'NRI 2025'!$A$6:$A$133,0),4)</f>
        <v>Upper middle-income</v>
      </c>
      <c r="F72" s="35" t="str">
        <f>INDEX('NRI 2025'!$A$6:$I$133,MATCH('T1 NRI R&amp;S'!$C72,'NRI 2025'!$A$6:$A$133,0),3)</f>
        <v>The Americas</v>
      </c>
      <c r="I72" s="32">
        <v>68</v>
      </c>
      <c r="J72" s="33" t="s">
        <v>83</v>
      </c>
      <c r="K72" s="106">
        <v>48.141052918344542</v>
      </c>
      <c r="L72" s="33" t="s">
        <v>881</v>
      </c>
      <c r="M72" s="35" t="s">
        <v>37</v>
      </c>
    </row>
    <row r="73" spans="2:13" x14ac:dyDescent="0.45">
      <c r="B73" s="28">
        <v>69</v>
      </c>
      <c r="C73" s="29" t="str">
        <f>INDEX('NRI 2025'!$A$6:$I$133,MATCH('T1 NRI R&amp;S'!$B73,'NRI 2025'!$I$6:$I$133,0),1)</f>
        <v>South Africa</v>
      </c>
      <c r="D73" s="30">
        <f>INDEX('NRI 2025'!$A$6:$I$133,MATCH('T1 NRI R&amp;S'!$C73,'NRI 2025'!$A$6:$A$133,0),7)</f>
        <v>47.942216806270174</v>
      </c>
      <c r="E73" s="29" t="str">
        <f>INDEX('NRI 2025'!$A$6:$I$133,MATCH('T1 NRI R&amp;S'!$C73,'NRI 2025'!$A$6:$A$133,0),4)</f>
        <v>Upper middle-income</v>
      </c>
      <c r="F73" s="31" t="str">
        <f>INDEX('NRI 2025'!$A$6:$I$133,MATCH('T1 NRI R&amp;S'!$C73,'NRI 2025'!$A$6:$A$133,0),3)</f>
        <v>Africa</v>
      </c>
      <c r="I73" s="28">
        <v>69</v>
      </c>
      <c r="J73" s="29" t="s">
        <v>22</v>
      </c>
      <c r="K73" s="105">
        <v>47.942216806270174</v>
      </c>
      <c r="L73" s="29" t="s">
        <v>881</v>
      </c>
      <c r="M73" s="31" t="s">
        <v>25</v>
      </c>
    </row>
    <row r="74" spans="2:13" x14ac:dyDescent="0.45">
      <c r="B74" s="32">
        <v>70</v>
      </c>
      <c r="C74" s="33" t="str">
        <f>INDEX('NRI 2025'!$A$6:$I$133,MATCH('T1 NRI R&amp;S'!$B74,'NRI 2025'!$I$6:$I$133,0),1)</f>
        <v>Republic of Moldova</v>
      </c>
      <c r="D74" s="34">
        <f>INDEX('NRI 2025'!$A$6:$I$133,MATCH('T1 NRI R&amp;S'!$C74,'NRI 2025'!$A$6:$A$133,0),7)</f>
        <v>47.141731585193831</v>
      </c>
      <c r="E74" s="33" t="str">
        <f>INDEX('NRI 2025'!$A$6:$I$133,MATCH('T1 NRI R&amp;S'!$C74,'NRI 2025'!$A$6:$A$133,0),4)</f>
        <v>Upper middle-income</v>
      </c>
      <c r="F74" s="35" t="str">
        <f>INDEX('NRI 2025'!$A$6:$I$133,MATCH('T1 NRI R&amp;S'!$C74,'NRI 2025'!$A$6:$A$133,0),3)</f>
        <v>Europe</v>
      </c>
      <c r="I74" s="32">
        <v>70</v>
      </c>
      <c r="J74" s="33" t="s">
        <v>353</v>
      </c>
      <c r="K74" s="106">
        <v>47.141731585193831</v>
      </c>
      <c r="L74" s="33" t="s">
        <v>881</v>
      </c>
      <c r="M74" s="35" t="s">
        <v>10</v>
      </c>
    </row>
    <row r="75" spans="2:13" x14ac:dyDescent="0.45">
      <c r="B75" s="28">
        <v>71</v>
      </c>
      <c r="C75" s="29" t="str">
        <f>INDEX('NRI 2025'!$A$6:$I$133,MATCH('T1 NRI R&amp;S'!$B75,'NRI 2025'!$I$6:$I$133,0),1)</f>
        <v>Jordan</v>
      </c>
      <c r="D75" s="30">
        <f>INDEX('NRI 2025'!$A$6:$I$133,MATCH('T1 NRI R&amp;S'!$C75,'NRI 2025'!$A$6:$A$133,0),7)</f>
        <v>46.604503771007771</v>
      </c>
      <c r="E75" s="29" t="str">
        <f>INDEX('NRI 2025'!$A$6:$I$133,MATCH('T1 NRI R&amp;S'!$C75,'NRI 2025'!$A$6:$A$133,0),4)</f>
        <v>Lower middle-income</v>
      </c>
      <c r="F75" s="31" t="str">
        <f>INDEX('NRI 2025'!$A$6:$I$133,MATCH('T1 NRI R&amp;S'!$C75,'NRI 2025'!$A$6:$A$133,0),3)</f>
        <v>Arab States</v>
      </c>
      <c r="I75" s="28">
        <v>71</v>
      </c>
      <c r="J75" s="29" t="s">
        <v>91</v>
      </c>
      <c r="K75" s="105">
        <v>46.604503771007771</v>
      </c>
      <c r="L75" s="29" t="s">
        <v>882</v>
      </c>
      <c r="M75" s="31" t="s">
        <v>29</v>
      </c>
    </row>
    <row r="76" spans="2:13" x14ac:dyDescent="0.45">
      <c r="B76" s="32">
        <v>72</v>
      </c>
      <c r="C76" s="33" t="str">
        <f>INDEX('NRI 2025'!$A$6:$I$133,MATCH('T1 NRI R&amp;S'!$B76,'NRI 2025'!$I$6:$I$133,0),1)</f>
        <v>Uzbekistan</v>
      </c>
      <c r="D76" s="34">
        <f>INDEX('NRI 2025'!$A$6:$I$133,MATCH('T1 NRI R&amp;S'!$C76,'NRI 2025'!$A$6:$A$133,0),7)</f>
        <v>46.472979037498831</v>
      </c>
      <c r="E76" s="33" t="str">
        <f>INDEX('NRI 2025'!$A$6:$I$133,MATCH('T1 NRI R&amp;S'!$C76,'NRI 2025'!$A$6:$A$133,0),4)</f>
        <v>Lower middle-income</v>
      </c>
      <c r="F76" s="35" t="str">
        <f>INDEX('NRI 2025'!$A$6:$I$133,MATCH('T1 NRI R&amp;S'!$C76,'NRI 2025'!$A$6:$A$133,0),3)</f>
        <v>CIS</v>
      </c>
      <c r="I76" s="32">
        <v>72</v>
      </c>
      <c r="J76" s="33" t="s">
        <v>596</v>
      </c>
      <c r="K76" s="106">
        <v>46.472979037498831</v>
      </c>
      <c r="L76" s="33" t="s">
        <v>882</v>
      </c>
      <c r="M76" s="35" t="s">
        <v>34</v>
      </c>
    </row>
    <row r="77" spans="2:13" x14ac:dyDescent="0.45">
      <c r="B77" s="28">
        <v>73</v>
      </c>
      <c r="C77" s="29" t="str">
        <f>INDEX('NRI 2025'!$A$6:$I$133,MATCH('T1 NRI R&amp;S'!$B77,'NRI 2025'!$I$6:$I$133,0),1)</f>
        <v>Morocco</v>
      </c>
      <c r="D77" s="30">
        <f>INDEX('NRI 2025'!$A$6:$I$133,MATCH('T1 NRI R&amp;S'!$C77,'NRI 2025'!$A$6:$A$133,0),7)</f>
        <v>46.38250995984572</v>
      </c>
      <c r="E77" s="29" t="str">
        <f>INDEX('NRI 2025'!$A$6:$I$133,MATCH('T1 NRI R&amp;S'!$C77,'NRI 2025'!$A$6:$A$133,0),4)</f>
        <v>Lower middle-income</v>
      </c>
      <c r="F77" s="31" t="str">
        <f>INDEX('NRI 2025'!$A$6:$I$133,MATCH('T1 NRI R&amp;S'!$C77,'NRI 2025'!$A$6:$A$133,0),3)</f>
        <v>Arab States</v>
      </c>
      <c r="I77" s="28">
        <v>73</v>
      </c>
      <c r="J77" s="29" t="s">
        <v>98</v>
      </c>
      <c r="K77" s="105">
        <v>46.38250995984572</v>
      </c>
      <c r="L77" s="29" t="s">
        <v>882</v>
      </c>
      <c r="M77" s="31" t="s">
        <v>29</v>
      </c>
    </row>
    <row r="78" spans="2:13" x14ac:dyDescent="0.45">
      <c r="B78" s="32">
        <v>74</v>
      </c>
      <c r="C78" s="33" t="str">
        <f>INDEX('NRI 2025'!$A$6:$I$133,MATCH('T1 NRI R&amp;S'!$B78,'NRI 2025'!$I$6:$I$133,0),1)</f>
        <v>Ecuador</v>
      </c>
      <c r="D78" s="34">
        <f>INDEX('NRI 2025'!$A$6:$I$133,MATCH('T1 NRI R&amp;S'!$C78,'NRI 2025'!$A$6:$A$133,0),7)</f>
        <v>46.256771371147636</v>
      </c>
      <c r="E78" s="33" t="str">
        <f>INDEX('NRI 2025'!$A$6:$I$133,MATCH('T1 NRI R&amp;S'!$C78,'NRI 2025'!$A$6:$A$133,0),4)</f>
        <v>Upper middle-income</v>
      </c>
      <c r="F78" s="35" t="str">
        <f>INDEX('NRI 2025'!$A$6:$I$133,MATCH('T1 NRI R&amp;S'!$C78,'NRI 2025'!$A$6:$A$133,0),3)</f>
        <v>The Americas</v>
      </c>
      <c r="I78" s="32">
        <v>74</v>
      </c>
      <c r="J78" s="33" t="s">
        <v>107</v>
      </c>
      <c r="K78" s="106">
        <v>46.256771371147636</v>
      </c>
      <c r="L78" s="33" t="s">
        <v>881</v>
      </c>
      <c r="M78" s="35" t="s">
        <v>37</v>
      </c>
    </row>
    <row r="79" spans="2:13" x14ac:dyDescent="0.45">
      <c r="B79" s="28">
        <v>75</v>
      </c>
      <c r="C79" s="29" t="str">
        <f>INDEX('NRI 2025'!$A$6:$I$133,MATCH('T1 NRI R&amp;S'!$B79,'NRI 2025'!$I$6:$I$133,0),1)</f>
        <v>Azerbaijan</v>
      </c>
      <c r="D79" s="30">
        <f>INDEX('NRI 2025'!$A$6:$I$133,MATCH('T1 NRI R&amp;S'!$C79,'NRI 2025'!$A$6:$A$133,0),7)</f>
        <v>46.076793968041528</v>
      </c>
      <c r="E79" s="29" t="str">
        <f>INDEX('NRI 2025'!$A$6:$I$133,MATCH('T1 NRI R&amp;S'!$C79,'NRI 2025'!$A$6:$A$133,0),4)</f>
        <v>Upper middle-income</v>
      </c>
      <c r="F79" s="31" t="str">
        <f>INDEX('NRI 2025'!$A$6:$I$133,MATCH('T1 NRI R&amp;S'!$C79,'NRI 2025'!$A$6:$A$133,0),3)</f>
        <v>CIS</v>
      </c>
      <c r="I79" s="28">
        <v>75</v>
      </c>
      <c r="J79" s="29" t="s">
        <v>95</v>
      </c>
      <c r="K79" s="105">
        <v>46.076793968041528</v>
      </c>
      <c r="L79" s="29" t="s">
        <v>881</v>
      </c>
      <c r="M79" s="31" t="s">
        <v>34</v>
      </c>
    </row>
    <row r="80" spans="2:13" x14ac:dyDescent="0.45">
      <c r="B80" s="32">
        <v>76</v>
      </c>
      <c r="C80" s="33" t="str">
        <f>INDEX('NRI 2025'!$A$6:$I$133,MATCH('T1 NRI R&amp;S'!$B80,'NRI 2025'!$I$6:$I$133,0),1)</f>
        <v>Dominican Republic</v>
      </c>
      <c r="D80" s="34">
        <f>INDEX('NRI 2025'!$A$6:$I$133,MATCH('T1 NRI R&amp;S'!$C80,'NRI 2025'!$A$6:$A$133,0),7)</f>
        <v>46.003359851144701</v>
      </c>
      <c r="E80" s="33" t="str">
        <f>INDEX('NRI 2025'!$A$6:$I$133,MATCH('T1 NRI R&amp;S'!$C80,'NRI 2025'!$A$6:$A$133,0),4)</f>
        <v>Upper middle-income</v>
      </c>
      <c r="F80" s="35" t="str">
        <f>INDEX('NRI 2025'!$A$6:$I$133,MATCH('T1 NRI R&amp;S'!$C80,'NRI 2025'!$A$6:$A$133,0),3)</f>
        <v>The Americas</v>
      </c>
      <c r="I80" s="32">
        <v>76</v>
      </c>
      <c r="J80" s="33" t="s">
        <v>99</v>
      </c>
      <c r="K80" s="106">
        <v>46.003359851144701</v>
      </c>
      <c r="L80" s="33" t="s">
        <v>881</v>
      </c>
      <c r="M80" s="35" t="s">
        <v>37</v>
      </c>
    </row>
    <row r="81" spans="2:13" x14ac:dyDescent="0.45">
      <c r="B81" s="28">
        <v>77</v>
      </c>
      <c r="C81" s="29" t="str">
        <f>INDEX('NRI 2025'!$A$6:$I$133,MATCH('T1 NRI R&amp;S'!$B81,'NRI 2025'!$I$6:$I$133,0),1)</f>
        <v>Kenya</v>
      </c>
      <c r="D81" s="30">
        <f>INDEX('NRI 2025'!$A$6:$I$133,MATCH('T1 NRI R&amp;S'!$C81,'NRI 2025'!$A$6:$A$133,0),7)</f>
        <v>45.767051743046771</v>
      </c>
      <c r="E81" s="29" t="str">
        <f>INDEX('NRI 2025'!$A$6:$I$133,MATCH('T1 NRI R&amp;S'!$C81,'NRI 2025'!$A$6:$A$133,0),4)</f>
        <v>Lower middle-income</v>
      </c>
      <c r="F81" s="31" t="str">
        <f>INDEX('NRI 2025'!$A$6:$I$133,MATCH('T1 NRI R&amp;S'!$C81,'NRI 2025'!$A$6:$A$133,0),3)</f>
        <v>Africa</v>
      </c>
      <c r="I81" s="28">
        <v>77</v>
      </c>
      <c r="J81" s="29" t="s">
        <v>101</v>
      </c>
      <c r="K81" s="105">
        <v>45.767051743046771</v>
      </c>
      <c r="L81" s="29" t="s">
        <v>882</v>
      </c>
      <c r="M81" s="31" t="s">
        <v>25</v>
      </c>
    </row>
    <row r="82" spans="2:13" x14ac:dyDescent="0.45">
      <c r="B82" s="32">
        <v>78</v>
      </c>
      <c r="C82" s="33" t="str">
        <f>INDEX('NRI 2025'!$A$6:$I$133,MATCH('T1 NRI R&amp;S'!$B82,'NRI 2025'!$I$6:$I$133,0),1)</f>
        <v>Kuwait</v>
      </c>
      <c r="D82" s="34">
        <f>INDEX('NRI 2025'!$A$6:$I$133,MATCH('T1 NRI R&amp;S'!$C82,'NRI 2025'!$A$6:$A$133,0),7)</f>
        <v>45.531935967676603</v>
      </c>
      <c r="E82" s="33" t="str">
        <f>INDEX('NRI 2025'!$A$6:$I$133,MATCH('T1 NRI R&amp;S'!$C82,'NRI 2025'!$A$6:$A$133,0),4)</f>
        <v>High-income</v>
      </c>
      <c r="F82" s="35" t="str">
        <f>INDEX('NRI 2025'!$A$6:$I$133,MATCH('T1 NRI R&amp;S'!$C82,'NRI 2025'!$A$6:$A$133,0),3)</f>
        <v>Arab States</v>
      </c>
      <c r="I82" s="32">
        <v>78</v>
      </c>
      <c r="J82" s="33" t="s">
        <v>80</v>
      </c>
      <c r="K82" s="106">
        <v>45.531935967676603</v>
      </c>
      <c r="L82" s="33" t="s">
        <v>880</v>
      </c>
      <c r="M82" s="35" t="s">
        <v>29</v>
      </c>
    </row>
    <row r="83" spans="2:13" x14ac:dyDescent="0.45">
      <c r="B83" s="28">
        <v>79</v>
      </c>
      <c r="C83" s="29" t="str">
        <f>INDEX('NRI 2025'!$A$6:$I$133,MATCH('T1 NRI R&amp;S'!$B83,'NRI 2025'!$I$6:$I$133,0),1)</f>
        <v>Albania</v>
      </c>
      <c r="D83" s="30">
        <f>INDEX('NRI 2025'!$A$6:$I$133,MATCH('T1 NRI R&amp;S'!$C83,'NRI 2025'!$A$6:$A$133,0),7)</f>
        <v>45.41401508691137</v>
      </c>
      <c r="E83" s="29" t="str">
        <f>INDEX('NRI 2025'!$A$6:$I$133,MATCH('T1 NRI R&amp;S'!$C83,'NRI 2025'!$A$6:$A$133,0),4)</f>
        <v>Upper middle-income</v>
      </c>
      <c r="F83" s="31" t="str">
        <f>INDEX('NRI 2025'!$A$6:$I$133,MATCH('T1 NRI R&amp;S'!$C83,'NRI 2025'!$A$6:$A$133,0),3)</f>
        <v>Europe</v>
      </c>
      <c r="I83" s="28">
        <v>79</v>
      </c>
      <c r="J83" s="29" t="s">
        <v>97</v>
      </c>
      <c r="K83" s="105">
        <v>45.41401508691137</v>
      </c>
      <c r="L83" s="29" t="s">
        <v>881</v>
      </c>
      <c r="M83" s="31" t="s">
        <v>10</v>
      </c>
    </row>
    <row r="84" spans="2:13" x14ac:dyDescent="0.45">
      <c r="B84" s="32">
        <v>80</v>
      </c>
      <c r="C84" s="33" t="str">
        <f>INDEX('NRI 2025'!$A$6:$I$133,MATCH('T1 NRI R&amp;S'!$B84,'NRI 2025'!$I$6:$I$133,0),1)</f>
        <v>Peru</v>
      </c>
      <c r="D84" s="34">
        <f>INDEX('NRI 2025'!$A$6:$I$133,MATCH('T1 NRI R&amp;S'!$C84,'NRI 2025'!$A$6:$A$133,0),7)</f>
        <v>45.243636109877954</v>
      </c>
      <c r="E84" s="33" t="str">
        <f>INDEX('NRI 2025'!$A$6:$I$133,MATCH('T1 NRI R&amp;S'!$C84,'NRI 2025'!$A$6:$A$133,0),4)</f>
        <v>Upper middle-income</v>
      </c>
      <c r="F84" s="35" t="str">
        <f>INDEX('NRI 2025'!$A$6:$I$133,MATCH('T1 NRI R&amp;S'!$C84,'NRI 2025'!$A$6:$A$133,0),3)</f>
        <v>The Americas</v>
      </c>
      <c r="I84" s="32">
        <v>80</v>
      </c>
      <c r="J84" s="33" t="s">
        <v>92</v>
      </c>
      <c r="K84" s="106">
        <v>45.243636109877954</v>
      </c>
      <c r="L84" s="33" t="s">
        <v>881</v>
      </c>
      <c r="M84" s="35" t="s">
        <v>37</v>
      </c>
    </row>
    <row r="85" spans="2:13" x14ac:dyDescent="0.45">
      <c r="B85" s="28">
        <v>81</v>
      </c>
      <c r="C85" s="29" t="str">
        <f>INDEX('NRI 2025'!$A$6:$I$133,MATCH('T1 NRI R&amp;S'!$B85,'NRI 2025'!$I$6:$I$133,0),1)</f>
        <v>Mongolia</v>
      </c>
      <c r="D85" s="30">
        <f>INDEX('NRI 2025'!$A$6:$I$133,MATCH('T1 NRI R&amp;S'!$C85,'NRI 2025'!$A$6:$A$133,0),7)</f>
        <v>45.052227518646674</v>
      </c>
      <c r="E85" s="29" t="str">
        <f>INDEX('NRI 2025'!$A$6:$I$133,MATCH('T1 NRI R&amp;S'!$C85,'NRI 2025'!$A$6:$A$133,0),4)</f>
        <v>Upper middle-income</v>
      </c>
      <c r="F85" s="31" t="str">
        <f>INDEX('NRI 2025'!$A$6:$I$133,MATCH('T1 NRI R&amp;S'!$C85,'NRI 2025'!$A$6:$A$133,0),3)</f>
        <v>Asia &amp; Pacific</v>
      </c>
      <c r="I85" s="28">
        <v>81</v>
      </c>
      <c r="J85" s="29" t="s">
        <v>106</v>
      </c>
      <c r="K85" s="105">
        <v>45.052227518646674</v>
      </c>
      <c r="L85" s="29" t="s">
        <v>881</v>
      </c>
      <c r="M85" s="31" t="s">
        <v>31</v>
      </c>
    </row>
    <row r="86" spans="2:13" x14ac:dyDescent="0.45">
      <c r="B86" s="32">
        <v>82</v>
      </c>
      <c r="C86" s="33" t="str">
        <f>INDEX('NRI 2025'!$A$6:$I$133,MATCH('T1 NRI R&amp;S'!$B86,'NRI 2025'!$I$6:$I$133,0),1)</f>
        <v>Bangladesh</v>
      </c>
      <c r="D86" s="34">
        <f>INDEX('NRI 2025'!$A$6:$I$133,MATCH('T1 NRI R&amp;S'!$C86,'NRI 2025'!$A$6:$A$133,0),7)</f>
        <v>44.903600070047816</v>
      </c>
      <c r="E86" s="33" t="str">
        <f>INDEX('NRI 2025'!$A$6:$I$133,MATCH('T1 NRI R&amp;S'!$C86,'NRI 2025'!$A$6:$A$133,0),4)</f>
        <v>Lower middle-income</v>
      </c>
      <c r="F86" s="35" t="str">
        <f>INDEX('NRI 2025'!$A$6:$I$133,MATCH('T1 NRI R&amp;S'!$C86,'NRI 2025'!$A$6:$A$133,0),3)</f>
        <v>Asia &amp; Pacific</v>
      </c>
      <c r="I86" s="32">
        <v>82</v>
      </c>
      <c r="J86" s="33" t="s">
        <v>110</v>
      </c>
      <c r="K86" s="106">
        <v>44.903600070047816</v>
      </c>
      <c r="L86" s="33" t="s">
        <v>882</v>
      </c>
      <c r="M86" s="35" t="s">
        <v>31</v>
      </c>
    </row>
    <row r="87" spans="2:13" x14ac:dyDescent="0.45">
      <c r="B87" s="28">
        <v>83</v>
      </c>
      <c r="C87" s="29" t="str">
        <f>INDEX('NRI 2025'!$A$6:$I$133,MATCH('T1 NRI R&amp;S'!$B87,'NRI 2025'!$I$6:$I$133,0),1)</f>
        <v>Panama</v>
      </c>
      <c r="D87" s="30">
        <f>INDEX('NRI 2025'!$A$6:$I$133,MATCH('T1 NRI R&amp;S'!$C87,'NRI 2025'!$A$6:$A$133,0),7)</f>
        <v>43.818607133684615</v>
      </c>
      <c r="E87" s="29" t="str">
        <f>INDEX('NRI 2025'!$A$6:$I$133,MATCH('T1 NRI R&amp;S'!$C87,'NRI 2025'!$A$6:$A$133,0),4)</f>
        <v>High-income</v>
      </c>
      <c r="F87" s="31" t="str">
        <f>INDEX('NRI 2025'!$A$6:$I$133,MATCH('T1 NRI R&amp;S'!$C87,'NRI 2025'!$A$6:$A$133,0),3)</f>
        <v>The Americas</v>
      </c>
      <c r="I87" s="28">
        <v>83</v>
      </c>
      <c r="J87" s="29" t="s">
        <v>94</v>
      </c>
      <c r="K87" s="105">
        <v>43.818607133684615</v>
      </c>
      <c r="L87" s="29" t="s">
        <v>880</v>
      </c>
      <c r="M87" s="31" t="s">
        <v>37</v>
      </c>
    </row>
    <row r="88" spans="2:13" x14ac:dyDescent="0.45">
      <c r="B88" s="32">
        <v>84</v>
      </c>
      <c r="C88" s="33" t="str">
        <f>INDEX('NRI 2025'!$A$6:$I$133,MATCH('T1 NRI R&amp;S'!$B88,'NRI 2025'!$I$6:$I$133,0),1)</f>
        <v>Iran (Islamic Republic of)</v>
      </c>
      <c r="D88" s="34">
        <f>INDEX('NRI 2025'!$A$6:$I$133,MATCH('T1 NRI R&amp;S'!$C88,'NRI 2025'!$A$6:$A$133,0),7)</f>
        <v>43.253749448041283</v>
      </c>
      <c r="E88" s="33" t="str">
        <f>INDEX('NRI 2025'!$A$6:$I$133,MATCH('T1 NRI R&amp;S'!$C88,'NRI 2025'!$A$6:$A$133,0),4)</f>
        <v>Upper middle-income</v>
      </c>
      <c r="F88" s="35" t="str">
        <f>INDEX('NRI 2025'!$A$6:$I$133,MATCH('T1 NRI R&amp;S'!$C88,'NRI 2025'!$A$6:$A$133,0),3)</f>
        <v>Asia &amp; Pacific</v>
      </c>
      <c r="I88" s="32">
        <v>84</v>
      </c>
      <c r="J88" s="33" t="s">
        <v>374</v>
      </c>
      <c r="K88" s="106">
        <v>43.253749448041283</v>
      </c>
      <c r="L88" s="33" t="s">
        <v>881</v>
      </c>
      <c r="M88" s="35" t="s">
        <v>31</v>
      </c>
    </row>
    <row r="89" spans="2:13" x14ac:dyDescent="0.45">
      <c r="B89" s="28">
        <v>85</v>
      </c>
      <c r="C89" s="29" t="str">
        <f>INDEX('NRI 2025'!$A$6:$I$133,MATCH('T1 NRI R&amp;S'!$B89,'NRI 2025'!$I$6:$I$133,0),1)</f>
        <v>Ghana</v>
      </c>
      <c r="D89" s="30">
        <f>INDEX('NRI 2025'!$A$6:$I$133,MATCH('T1 NRI R&amp;S'!$C89,'NRI 2025'!$A$6:$A$133,0),7)</f>
        <v>43.049241047820601</v>
      </c>
      <c r="E89" s="29" t="str">
        <f>INDEX('NRI 2025'!$A$6:$I$133,MATCH('T1 NRI R&amp;S'!$C89,'NRI 2025'!$A$6:$A$133,0),4)</f>
        <v>Lower middle-income</v>
      </c>
      <c r="F89" s="31" t="str">
        <f>INDEX('NRI 2025'!$A$6:$I$133,MATCH('T1 NRI R&amp;S'!$C89,'NRI 2025'!$A$6:$A$133,0),3)</f>
        <v>Africa</v>
      </c>
      <c r="I89" s="28">
        <v>85</v>
      </c>
      <c r="J89" s="29" t="s">
        <v>111</v>
      </c>
      <c r="K89" s="105">
        <v>43.049241047820601</v>
      </c>
      <c r="L89" s="29" t="s">
        <v>882</v>
      </c>
      <c r="M89" s="31" t="s">
        <v>25</v>
      </c>
    </row>
    <row r="90" spans="2:13" x14ac:dyDescent="0.45">
      <c r="B90" s="32">
        <v>86</v>
      </c>
      <c r="C90" s="33" t="str">
        <f>INDEX('NRI 2025'!$A$6:$I$133,MATCH('T1 NRI R&amp;S'!$B90,'NRI 2025'!$I$6:$I$133,0),1)</f>
        <v>Paraguay</v>
      </c>
      <c r="D90" s="34">
        <f>INDEX('NRI 2025'!$A$6:$I$133,MATCH('T1 NRI R&amp;S'!$C90,'NRI 2025'!$A$6:$A$133,0),7)</f>
        <v>42.945668275954638</v>
      </c>
      <c r="E90" s="33" t="str">
        <f>INDEX('NRI 2025'!$A$6:$I$133,MATCH('T1 NRI R&amp;S'!$C90,'NRI 2025'!$A$6:$A$133,0),4)</f>
        <v>Upper middle-income</v>
      </c>
      <c r="F90" s="35" t="str">
        <f>INDEX('NRI 2025'!$A$6:$I$133,MATCH('T1 NRI R&amp;S'!$C90,'NRI 2025'!$A$6:$A$133,0),3)</f>
        <v>The Americas</v>
      </c>
      <c r="I90" s="32">
        <v>86</v>
      </c>
      <c r="J90" s="33" t="s">
        <v>105</v>
      </c>
      <c r="K90" s="106">
        <v>42.945668275954638</v>
      </c>
      <c r="L90" s="33" t="s">
        <v>881</v>
      </c>
      <c r="M90" s="35" t="s">
        <v>37</v>
      </c>
    </row>
    <row r="91" spans="2:13" x14ac:dyDescent="0.45">
      <c r="B91" s="28">
        <v>87</v>
      </c>
      <c r="C91" s="29" t="str">
        <f>INDEX('NRI 2025'!$A$6:$I$133,MATCH('T1 NRI R&amp;S'!$B91,'NRI 2025'!$I$6:$I$133,0),1)</f>
        <v>Rwanda</v>
      </c>
      <c r="D91" s="30">
        <f>INDEX('NRI 2025'!$A$6:$I$133,MATCH('T1 NRI R&amp;S'!$C91,'NRI 2025'!$A$6:$A$133,0),7)</f>
        <v>42.815042582170889</v>
      </c>
      <c r="E91" s="29" t="str">
        <f>INDEX('NRI 2025'!$A$6:$I$133,MATCH('T1 NRI R&amp;S'!$C91,'NRI 2025'!$A$6:$A$133,0),4)</f>
        <v>Low-income</v>
      </c>
      <c r="F91" s="31" t="str">
        <f>INDEX('NRI 2025'!$A$6:$I$133,MATCH('T1 NRI R&amp;S'!$C91,'NRI 2025'!$A$6:$A$133,0),3)</f>
        <v>Africa</v>
      </c>
      <c r="I91" s="28">
        <v>87</v>
      </c>
      <c r="J91" s="29" t="s">
        <v>46</v>
      </c>
      <c r="K91" s="105">
        <v>42.815042582170889</v>
      </c>
      <c r="L91" s="29" t="s">
        <v>883</v>
      </c>
      <c r="M91" s="31" t="s">
        <v>25</v>
      </c>
    </row>
    <row r="92" spans="2:13" x14ac:dyDescent="0.45">
      <c r="B92" s="32">
        <v>88</v>
      </c>
      <c r="C92" s="33" t="str">
        <f>INDEX('NRI 2025'!$A$6:$I$133,MATCH('T1 NRI R&amp;S'!$B92,'NRI 2025'!$I$6:$I$133,0),1)</f>
        <v>Egypt</v>
      </c>
      <c r="D92" s="34">
        <f>INDEX('NRI 2025'!$A$6:$I$133,MATCH('T1 NRI R&amp;S'!$C92,'NRI 2025'!$A$6:$A$133,0),7)</f>
        <v>42.695313169192765</v>
      </c>
      <c r="E92" s="33" t="str">
        <f>INDEX('NRI 2025'!$A$6:$I$133,MATCH('T1 NRI R&amp;S'!$C92,'NRI 2025'!$A$6:$A$133,0),4)</f>
        <v>Lower middle-income</v>
      </c>
      <c r="F92" s="35" t="str">
        <f>INDEX('NRI 2025'!$A$6:$I$133,MATCH('T1 NRI R&amp;S'!$C92,'NRI 2025'!$A$6:$A$133,0),3)</f>
        <v>Arab States</v>
      </c>
      <c r="I92" s="32">
        <v>88</v>
      </c>
      <c r="J92" s="33" t="s">
        <v>24</v>
      </c>
      <c r="K92" s="106">
        <v>42.695313169192765</v>
      </c>
      <c r="L92" s="33" t="s">
        <v>882</v>
      </c>
      <c r="M92" s="35" t="s">
        <v>29</v>
      </c>
    </row>
    <row r="93" spans="2:13" x14ac:dyDescent="0.45">
      <c r="B93" s="28">
        <v>89</v>
      </c>
      <c r="C93" s="29" t="str">
        <f>INDEX('NRI 2025'!$A$6:$I$133,MATCH('T1 NRI R&amp;S'!$B93,'NRI 2025'!$I$6:$I$133,0),1)</f>
        <v>North Macedonia</v>
      </c>
      <c r="D93" s="30">
        <f>INDEX('NRI 2025'!$A$6:$I$133,MATCH('T1 NRI R&amp;S'!$C93,'NRI 2025'!$A$6:$A$133,0),7)</f>
        <v>42.5753236982126</v>
      </c>
      <c r="E93" s="29" t="str">
        <f>INDEX('NRI 2025'!$A$6:$I$133,MATCH('T1 NRI R&amp;S'!$C93,'NRI 2025'!$A$6:$A$133,0),4)</f>
        <v>Upper middle-income</v>
      </c>
      <c r="F93" s="31" t="str">
        <f>INDEX('NRI 2025'!$A$6:$I$133,MATCH('T1 NRI R&amp;S'!$C93,'NRI 2025'!$A$6:$A$133,0),3)</f>
        <v>Europe</v>
      </c>
      <c r="I93" s="28">
        <v>89</v>
      </c>
      <c r="J93" s="29" t="s">
        <v>87</v>
      </c>
      <c r="K93" s="105">
        <v>42.5753236982126</v>
      </c>
      <c r="L93" s="29" t="s">
        <v>881</v>
      </c>
      <c r="M93" s="31" t="s">
        <v>10</v>
      </c>
    </row>
    <row r="94" spans="2:13" x14ac:dyDescent="0.45">
      <c r="B94" s="32">
        <v>90</v>
      </c>
      <c r="C94" s="33" t="str">
        <f>INDEX('NRI 2025'!$A$6:$I$133,MATCH('T1 NRI R&amp;S'!$B94,'NRI 2025'!$I$6:$I$133,0),1)</f>
        <v>Kyrgyzstan</v>
      </c>
      <c r="D94" s="34">
        <f>INDEX('NRI 2025'!$A$6:$I$133,MATCH('T1 NRI R&amp;S'!$C94,'NRI 2025'!$A$6:$A$133,0),7)</f>
        <v>42.438895311128327</v>
      </c>
      <c r="E94" s="33" t="str">
        <f>INDEX('NRI 2025'!$A$6:$I$133,MATCH('T1 NRI R&amp;S'!$C94,'NRI 2025'!$A$6:$A$133,0),4)</f>
        <v>Lower middle-income</v>
      </c>
      <c r="F94" s="35" t="str">
        <f>INDEX('NRI 2025'!$A$6:$I$133,MATCH('T1 NRI R&amp;S'!$C94,'NRI 2025'!$A$6:$A$133,0),3)</f>
        <v>CIS</v>
      </c>
      <c r="I94" s="32">
        <v>90</v>
      </c>
      <c r="J94" s="33" t="s">
        <v>109</v>
      </c>
      <c r="K94" s="106">
        <v>42.438895311128327</v>
      </c>
      <c r="L94" s="33" t="s">
        <v>882</v>
      </c>
      <c r="M94" s="35" t="s">
        <v>34</v>
      </c>
    </row>
    <row r="95" spans="2:13" x14ac:dyDescent="0.45">
      <c r="B95" s="28">
        <v>91</v>
      </c>
      <c r="C95" s="29" t="str">
        <f>INDEX('NRI 2025'!$A$6:$I$133,MATCH('T1 NRI R&amp;S'!$B95,'NRI 2025'!$I$6:$I$133,0),1)</f>
        <v>Cabo Verde</v>
      </c>
      <c r="D95" s="30">
        <f>INDEX('NRI 2025'!$A$6:$I$133,MATCH('T1 NRI R&amp;S'!$C95,'NRI 2025'!$A$6:$A$133,0),7)</f>
        <v>41.98946953074055</v>
      </c>
      <c r="E95" s="29" t="str">
        <f>INDEX('NRI 2025'!$A$6:$I$133,MATCH('T1 NRI R&amp;S'!$C95,'NRI 2025'!$A$6:$A$133,0),4)</f>
        <v>Upper middle-income</v>
      </c>
      <c r="F95" s="31" t="str">
        <f>INDEX('NRI 2025'!$A$6:$I$133,MATCH('T1 NRI R&amp;S'!$C95,'NRI 2025'!$A$6:$A$133,0),3)</f>
        <v>Africa</v>
      </c>
      <c r="I95" s="28">
        <v>91</v>
      </c>
      <c r="J95" s="29" t="s">
        <v>108</v>
      </c>
      <c r="K95" s="105">
        <v>41.98946953074055</v>
      </c>
      <c r="L95" s="29" t="s">
        <v>881</v>
      </c>
      <c r="M95" s="31" t="s">
        <v>25</v>
      </c>
    </row>
    <row r="96" spans="2:13" x14ac:dyDescent="0.45">
      <c r="B96" s="32">
        <v>92</v>
      </c>
      <c r="C96" s="33" t="str">
        <f>INDEX('NRI 2025'!$A$6:$I$133,MATCH('T1 NRI R&amp;S'!$B96,'NRI 2025'!$I$6:$I$133,0),1)</f>
        <v>Bosnia and Herzegovina</v>
      </c>
      <c r="D96" s="34">
        <f>INDEX('NRI 2025'!$A$6:$I$133,MATCH('T1 NRI R&amp;S'!$C96,'NRI 2025'!$A$6:$A$133,0),7)</f>
        <v>40.671851912681234</v>
      </c>
      <c r="E96" s="33" t="str">
        <f>INDEX('NRI 2025'!$A$6:$I$133,MATCH('T1 NRI R&amp;S'!$C96,'NRI 2025'!$A$6:$A$133,0),4)</f>
        <v>Upper middle-income</v>
      </c>
      <c r="F96" s="35" t="str">
        <f>INDEX('NRI 2025'!$A$6:$I$133,MATCH('T1 NRI R&amp;S'!$C96,'NRI 2025'!$A$6:$A$133,0),3)</f>
        <v>Europe</v>
      </c>
      <c r="I96" s="32">
        <v>92</v>
      </c>
      <c r="J96" s="33" t="s">
        <v>103</v>
      </c>
      <c r="K96" s="106">
        <v>40.671851912681234</v>
      </c>
      <c r="L96" s="33" t="s">
        <v>881</v>
      </c>
      <c r="M96" s="35" t="s">
        <v>10</v>
      </c>
    </row>
    <row r="97" spans="2:13" x14ac:dyDescent="0.45">
      <c r="B97" s="28">
        <v>93</v>
      </c>
      <c r="C97" s="29" t="str">
        <f>INDEX('NRI 2025'!$A$6:$I$133,MATCH('T1 NRI R&amp;S'!$B97,'NRI 2025'!$I$6:$I$133,0),1)</f>
        <v>Sri Lanka</v>
      </c>
      <c r="D97" s="30">
        <f>INDEX('NRI 2025'!$A$6:$I$133,MATCH('T1 NRI R&amp;S'!$C97,'NRI 2025'!$A$6:$A$133,0),7)</f>
        <v>40.477581523622739</v>
      </c>
      <c r="E97" s="29" t="str">
        <f>INDEX('NRI 2025'!$A$6:$I$133,MATCH('T1 NRI R&amp;S'!$C97,'NRI 2025'!$A$6:$A$133,0),4)</f>
        <v>Lower middle-income</v>
      </c>
      <c r="F97" s="31" t="str">
        <f>INDEX('NRI 2025'!$A$6:$I$133,MATCH('T1 NRI R&amp;S'!$C97,'NRI 2025'!$A$6:$A$133,0),3)</f>
        <v>Asia &amp; Pacific</v>
      </c>
      <c r="I97" s="28">
        <v>93</v>
      </c>
      <c r="J97" s="29" t="s">
        <v>96</v>
      </c>
      <c r="K97" s="105">
        <v>40.477581523622739</v>
      </c>
      <c r="L97" s="29" t="s">
        <v>882</v>
      </c>
      <c r="M97" s="31" t="s">
        <v>31</v>
      </c>
    </row>
    <row r="98" spans="2:13" x14ac:dyDescent="0.45">
      <c r="B98" s="32">
        <v>94</v>
      </c>
      <c r="C98" s="33" t="str">
        <f>INDEX('NRI 2025'!$A$6:$I$133,MATCH('T1 NRI R&amp;S'!$B98,'NRI 2025'!$I$6:$I$133,0),1)</f>
        <v>Jamaica</v>
      </c>
      <c r="D98" s="34">
        <f>INDEX('NRI 2025'!$A$6:$I$133,MATCH('T1 NRI R&amp;S'!$C98,'NRI 2025'!$A$6:$A$133,0),7)</f>
        <v>40.353077822757818</v>
      </c>
      <c r="E98" s="33" t="str">
        <f>INDEX('NRI 2025'!$A$6:$I$133,MATCH('T1 NRI R&amp;S'!$C98,'NRI 2025'!$A$6:$A$133,0),4)</f>
        <v>Upper middle-income</v>
      </c>
      <c r="F98" s="35" t="str">
        <f>INDEX('NRI 2025'!$A$6:$I$133,MATCH('T1 NRI R&amp;S'!$C98,'NRI 2025'!$A$6:$A$133,0),3)</f>
        <v>The Americas</v>
      </c>
      <c r="I98" s="32">
        <v>94</v>
      </c>
      <c r="J98" s="33" t="s">
        <v>93</v>
      </c>
      <c r="K98" s="106">
        <v>40.353077822757818</v>
      </c>
      <c r="L98" s="33" t="s">
        <v>881</v>
      </c>
      <c r="M98" s="35" t="s">
        <v>37</v>
      </c>
    </row>
    <row r="99" spans="2:13" x14ac:dyDescent="0.45">
      <c r="B99" s="28">
        <v>95</v>
      </c>
      <c r="C99" s="29" t="str">
        <f>INDEX('NRI 2025'!$A$6:$I$133,MATCH('T1 NRI R&amp;S'!$B99,'NRI 2025'!$I$6:$I$133,0),1)</f>
        <v>Pakistan</v>
      </c>
      <c r="D99" s="30">
        <f>INDEX('NRI 2025'!$A$6:$I$133,MATCH('T1 NRI R&amp;S'!$C99,'NRI 2025'!$A$6:$A$133,0),7)</f>
        <v>39.532600829192418</v>
      </c>
      <c r="E99" s="29" t="str">
        <f>INDEX('NRI 2025'!$A$6:$I$133,MATCH('T1 NRI R&amp;S'!$C99,'NRI 2025'!$A$6:$A$133,0),4)</f>
        <v>Lower middle-income</v>
      </c>
      <c r="F99" s="31" t="str">
        <f>INDEX('NRI 2025'!$A$6:$I$133,MATCH('T1 NRI R&amp;S'!$C99,'NRI 2025'!$A$6:$A$133,0),3)</f>
        <v>Asia &amp; Pacific</v>
      </c>
      <c r="I99" s="28">
        <v>95</v>
      </c>
      <c r="J99" s="29" t="s">
        <v>112</v>
      </c>
      <c r="K99" s="105">
        <v>39.532600829192418</v>
      </c>
      <c r="L99" s="29" t="s">
        <v>882</v>
      </c>
      <c r="M99" s="31" t="s">
        <v>31</v>
      </c>
    </row>
    <row r="100" spans="2:13" x14ac:dyDescent="0.45">
      <c r="B100" s="32">
        <v>96</v>
      </c>
      <c r="C100" s="33" t="str">
        <f>INDEX('NRI 2025'!$A$6:$I$133,MATCH('T1 NRI R&amp;S'!$B100,'NRI 2025'!$I$6:$I$133,0),1)</f>
        <v>Tunisia</v>
      </c>
      <c r="D100" s="34">
        <f>INDEX('NRI 2025'!$A$6:$I$133,MATCH('T1 NRI R&amp;S'!$C100,'NRI 2025'!$A$6:$A$133,0),7)</f>
        <v>39.29294335695149</v>
      </c>
      <c r="E100" s="33" t="str">
        <f>INDEX('NRI 2025'!$A$6:$I$133,MATCH('T1 NRI R&amp;S'!$C100,'NRI 2025'!$A$6:$A$133,0),4)</f>
        <v>Lower middle-income</v>
      </c>
      <c r="F100" s="35" t="str">
        <f>INDEX('NRI 2025'!$A$6:$I$133,MATCH('T1 NRI R&amp;S'!$C100,'NRI 2025'!$A$6:$A$133,0),3)</f>
        <v>Arab States</v>
      </c>
      <c r="I100" s="32">
        <v>96</v>
      </c>
      <c r="J100" s="33" t="s">
        <v>104</v>
      </c>
      <c r="K100" s="106">
        <v>39.29294335695149</v>
      </c>
      <c r="L100" s="33" t="s">
        <v>882</v>
      </c>
      <c r="M100" s="35" t="s">
        <v>29</v>
      </c>
    </row>
    <row r="101" spans="2:13" x14ac:dyDescent="0.45">
      <c r="B101" s="28">
        <v>97</v>
      </c>
      <c r="C101" s="29" t="str">
        <f>INDEX('NRI 2025'!$A$6:$I$133,MATCH('T1 NRI R&amp;S'!$B101,'NRI 2025'!$I$6:$I$133,0),1)</f>
        <v>United Republic of Tanzania</v>
      </c>
      <c r="D101" s="30">
        <f>INDEX('NRI 2025'!$A$6:$I$133,MATCH('T1 NRI R&amp;S'!$C101,'NRI 2025'!$A$6:$A$133,0),7)</f>
        <v>39.177450420573606</v>
      </c>
      <c r="E101" s="29" t="str">
        <f>INDEX('NRI 2025'!$A$6:$I$133,MATCH('T1 NRI R&amp;S'!$C101,'NRI 2025'!$A$6:$A$133,0),4)</f>
        <v>Lower middle-income</v>
      </c>
      <c r="F101" s="31" t="str">
        <f>INDEX('NRI 2025'!$A$6:$I$133,MATCH('T1 NRI R&amp;S'!$C101,'NRI 2025'!$A$6:$A$133,0),3)</f>
        <v>Africa</v>
      </c>
      <c r="I101" s="28">
        <v>97</v>
      </c>
      <c r="J101" s="29" t="s">
        <v>400</v>
      </c>
      <c r="K101" s="105">
        <v>39.177450420573606</v>
      </c>
      <c r="L101" s="29" t="s">
        <v>882</v>
      </c>
      <c r="M101" s="31" t="s">
        <v>25</v>
      </c>
    </row>
    <row r="102" spans="2:13" x14ac:dyDescent="0.45">
      <c r="B102" s="32">
        <v>98</v>
      </c>
      <c r="C102" s="33" t="str">
        <f>INDEX('NRI 2025'!$A$6:$I$133,MATCH('T1 NRI R&amp;S'!$B102,'NRI 2025'!$I$6:$I$133,0),1)</f>
        <v>Senegal</v>
      </c>
      <c r="D102" s="34">
        <f>INDEX('NRI 2025'!$A$6:$I$133,MATCH('T1 NRI R&amp;S'!$C102,'NRI 2025'!$A$6:$A$133,0),7)</f>
        <v>39.025353236526151</v>
      </c>
      <c r="E102" s="33" t="str">
        <f>INDEX('NRI 2025'!$A$6:$I$133,MATCH('T1 NRI R&amp;S'!$C102,'NRI 2025'!$A$6:$A$133,0),4)</f>
        <v>Lower middle-income</v>
      </c>
      <c r="F102" s="35" t="str">
        <f>INDEX('NRI 2025'!$A$6:$I$133,MATCH('T1 NRI R&amp;S'!$C102,'NRI 2025'!$A$6:$A$133,0),3)</f>
        <v>Africa</v>
      </c>
      <c r="I102" s="32">
        <v>98</v>
      </c>
      <c r="J102" s="33" t="s">
        <v>114</v>
      </c>
      <c r="K102" s="106">
        <v>39.025353236526151</v>
      </c>
      <c r="L102" s="33" t="s">
        <v>882</v>
      </c>
      <c r="M102" s="35" t="s">
        <v>25</v>
      </c>
    </row>
    <row r="103" spans="2:13" x14ac:dyDescent="0.45">
      <c r="B103" s="28">
        <v>99</v>
      </c>
      <c r="C103" s="29" t="str">
        <f>INDEX('NRI 2025'!$A$6:$I$133,MATCH('T1 NRI R&amp;S'!$B103,'NRI 2025'!$I$6:$I$133,0),1)</f>
        <v>El Salvador</v>
      </c>
      <c r="D103" s="30">
        <f>INDEX('NRI 2025'!$A$6:$I$133,MATCH('T1 NRI R&amp;S'!$C103,'NRI 2025'!$A$6:$A$133,0),7)</f>
        <v>38.616751325605179</v>
      </c>
      <c r="E103" s="29" t="str">
        <f>INDEX('NRI 2025'!$A$6:$I$133,MATCH('T1 NRI R&amp;S'!$C103,'NRI 2025'!$A$6:$A$133,0),4)</f>
        <v>Upper middle-income</v>
      </c>
      <c r="F103" s="31" t="str">
        <f>INDEX('NRI 2025'!$A$6:$I$133,MATCH('T1 NRI R&amp;S'!$C103,'NRI 2025'!$A$6:$A$133,0),3)</f>
        <v>The Americas</v>
      </c>
      <c r="I103" s="28">
        <v>99</v>
      </c>
      <c r="J103" s="29" t="s">
        <v>113</v>
      </c>
      <c r="K103" s="105">
        <v>38.616751325605179</v>
      </c>
      <c r="L103" s="29" t="s">
        <v>881</v>
      </c>
      <c r="M103" s="31" t="s">
        <v>37</v>
      </c>
    </row>
    <row r="104" spans="2:13" x14ac:dyDescent="0.45">
      <c r="B104" s="32">
        <v>100</v>
      </c>
      <c r="C104" s="33" t="str">
        <f>INDEX('NRI 2025'!$A$6:$I$133,MATCH('T1 NRI R&amp;S'!$B104,'NRI 2025'!$I$6:$I$133,0),1)</f>
        <v>Cote d'Ivoire</v>
      </c>
      <c r="D104" s="34">
        <f>INDEX('NRI 2025'!$A$6:$I$133,MATCH('T1 NRI R&amp;S'!$C104,'NRI 2025'!$A$6:$A$133,0),7)</f>
        <v>38.265187698353877</v>
      </c>
      <c r="E104" s="33" t="str">
        <f>INDEX('NRI 2025'!$A$6:$I$133,MATCH('T1 NRI R&amp;S'!$C104,'NRI 2025'!$A$6:$A$133,0),4)</f>
        <v>Lower middle-income</v>
      </c>
      <c r="F104" s="35" t="str">
        <f>INDEX('NRI 2025'!$A$6:$I$133,MATCH('T1 NRI R&amp;S'!$C104,'NRI 2025'!$A$6:$A$133,0),3)</f>
        <v>Africa</v>
      </c>
      <c r="I104" s="32">
        <v>100</v>
      </c>
      <c r="J104" s="33" t="s">
        <v>390</v>
      </c>
      <c r="K104" s="106">
        <v>38.265187698353877</v>
      </c>
      <c r="L104" s="33" t="s">
        <v>882</v>
      </c>
      <c r="M104" s="35" t="s">
        <v>25</v>
      </c>
    </row>
    <row r="105" spans="2:13" x14ac:dyDescent="0.45">
      <c r="B105" s="28">
        <v>101</v>
      </c>
      <c r="C105" s="29" t="str">
        <f>INDEX('NRI 2025'!$A$6:$I$133,MATCH('T1 NRI R&amp;S'!$B105,'NRI 2025'!$I$6:$I$133,0),1)</f>
        <v>Trinidad and Tobago</v>
      </c>
      <c r="D105" s="30">
        <f>INDEX('NRI 2025'!$A$6:$I$133,MATCH('T1 NRI R&amp;S'!$C105,'NRI 2025'!$A$6:$A$133,0),7)</f>
        <v>37.100361926536209</v>
      </c>
      <c r="E105" s="29" t="str">
        <f>INDEX('NRI 2025'!$A$6:$I$133,MATCH('T1 NRI R&amp;S'!$C105,'NRI 2025'!$A$6:$A$133,0),4)</f>
        <v>High-income</v>
      </c>
      <c r="F105" s="31" t="str">
        <f>INDEX('NRI 2025'!$A$6:$I$133,MATCH('T1 NRI R&amp;S'!$C105,'NRI 2025'!$A$6:$A$133,0),3)</f>
        <v>The Americas</v>
      </c>
      <c r="I105" s="28">
        <v>101</v>
      </c>
      <c r="J105" s="29" t="s">
        <v>102</v>
      </c>
      <c r="K105" s="105">
        <v>37.100361926536209</v>
      </c>
      <c r="L105" s="29" t="s">
        <v>880</v>
      </c>
      <c r="M105" s="31" t="s">
        <v>37</v>
      </c>
    </row>
    <row r="106" spans="2:13" x14ac:dyDescent="0.45">
      <c r="B106" s="32">
        <v>102</v>
      </c>
      <c r="C106" s="33" t="str">
        <f>INDEX('NRI 2025'!$A$6:$I$133,MATCH('T1 NRI R&amp;S'!$B106,'NRI 2025'!$I$6:$I$133,0),1)</f>
        <v>Guatemala</v>
      </c>
      <c r="D106" s="34">
        <f>INDEX('NRI 2025'!$A$6:$I$133,MATCH('T1 NRI R&amp;S'!$C106,'NRI 2025'!$A$6:$A$133,0),7)</f>
        <v>36.915628030351236</v>
      </c>
      <c r="E106" s="33" t="str">
        <f>INDEX('NRI 2025'!$A$6:$I$133,MATCH('T1 NRI R&amp;S'!$C106,'NRI 2025'!$A$6:$A$133,0),4)</f>
        <v>Upper middle-income</v>
      </c>
      <c r="F106" s="35" t="str">
        <f>INDEX('NRI 2025'!$A$6:$I$133,MATCH('T1 NRI R&amp;S'!$C106,'NRI 2025'!$A$6:$A$133,0),3)</f>
        <v>The Americas</v>
      </c>
      <c r="I106" s="32">
        <v>102</v>
      </c>
      <c r="J106" s="33" t="s">
        <v>119</v>
      </c>
      <c r="K106" s="106">
        <v>36.915628030351236</v>
      </c>
      <c r="L106" s="33" t="s">
        <v>881</v>
      </c>
      <c r="M106" s="35" t="s">
        <v>37</v>
      </c>
    </row>
    <row r="107" spans="2:13" x14ac:dyDescent="0.45">
      <c r="B107" s="28">
        <v>103</v>
      </c>
      <c r="C107" s="29" t="str">
        <f>INDEX('NRI 2025'!$A$6:$I$133,MATCH('T1 NRI R&amp;S'!$B107,'NRI 2025'!$I$6:$I$133,0),1)</f>
        <v>Nigeria</v>
      </c>
      <c r="D107" s="30">
        <f>INDEX('NRI 2025'!$A$6:$I$133,MATCH('T1 NRI R&amp;S'!$C107,'NRI 2025'!$A$6:$A$133,0),7)</f>
        <v>36.80629242744299</v>
      </c>
      <c r="E107" s="29" t="str">
        <f>INDEX('NRI 2025'!$A$6:$I$133,MATCH('T1 NRI R&amp;S'!$C107,'NRI 2025'!$A$6:$A$133,0),4)</f>
        <v>Lower middle-income</v>
      </c>
      <c r="F107" s="31" t="str">
        <f>INDEX('NRI 2025'!$A$6:$I$133,MATCH('T1 NRI R&amp;S'!$C107,'NRI 2025'!$A$6:$A$133,0),3)</f>
        <v>Africa</v>
      </c>
      <c r="I107" s="28">
        <v>103</v>
      </c>
      <c r="J107" s="29" t="s">
        <v>117</v>
      </c>
      <c r="K107" s="105">
        <v>36.80629242744299</v>
      </c>
      <c r="L107" s="29" t="s">
        <v>882</v>
      </c>
      <c r="M107" s="31" t="s">
        <v>25</v>
      </c>
    </row>
    <row r="108" spans="2:13" x14ac:dyDescent="0.45">
      <c r="B108" s="32">
        <v>104</v>
      </c>
      <c r="C108" s="33" t="str">
        <f>INDEX('NRI 2025'!$A$6:$I$133,MATCH('T1 NRI R&amp;S'!$B108,'NRI 2025'!$I$6:$I$133,0),1)</f>
        <v>Bolivia (Plurinational State of)</v>
      </c>
      <c r="D108" s="34">
        <f>INDEX('NRI 2025'!$A$6:$I$133,MATCH('T1 NRI R&amp;S'!$C108,'NRI 2025'!$A$6:$A$133,0),7)</f>
        <v>36.596664665184363</v>
      </c>
      <c r="E108" s="33" t="str">
        <f>INDEX('NRI 2025'!$A$6:$I$133,MATCH('T1 NRI R&amp;S'!$C108,'NRI 2025'!$A$6:$A$133,0),4)</f>
        <v>Lower middle-income</v>
      </c>
      <c r="F108" s="35" t="str">
        <f>INDEX('NRI 2025'!$A$6:$I$133,MATCH('T1 NRI R&amp;S'!$C108,'NRI 2025'!$A$6:$A$133,0),3)</f>
        <v>The Americas</v>
      </c>
      <c r="I108" s="32">
        <v>104</v>
      </c>
      <c r="J108" s="33" t="s">
        <v>385</v>
      </c>
      <c r="K108" s="106">
        <v>36.596664665184363</v>
      </c>
      <c r="L108" s="33" t="s">
        <v>882</v>
      </c>
      <c r="M108" s="35" t="s">
        <v>37</v>
      </c>
    </row>
    <row r="109" spans="2:13" x14ac:dyDescent="0.45">
      <c r="B109" s="28">
        <v>105</v>
      </c>
      <c r="C109" s="29" t="str">
        <f>INDEX('NRI 2025'!$A$6:$I$133,MATCH('T1 NRI R&amp;S'!$B109,'NRI 2025'!$I$6:$I$133,0),1)</f>
        <v>Cambodia</v>
      </c>
      <c r="D109" s="30">
        <f>INDEX('NRI 2025'!$A$6:$I$133,MATCH('T1 NRI R&amp;S'!$C109,'NRI 2025'!$A$6:$A$133,0),7)</f>
        <v>36.459647816649266</v>
      </c>
      <c r="E109" s="29" t="str">
        <f>INDEX('NRI 2025'!$A$6:$I$133,MATCH('T1 NRI R&amp;S'!$C109,'NRI 2025'!$A$6:$A$133,0),4)</f>
        <v>Lower middle-income</v>
      </c>
      <c r="F109" s="31" t="str">
        <f>INDEX('NRI 2025'!$A$6:$I$133,MATCH('T1 NRI R&amp;S'!$C109,'NRI 2025'!$A$6:$A$133,0),3)</f>
        <v>Asia &amp; Pacific</v>
      </c>
      <c r="I109" s="28">
        <v>105</v>
      </c>
      <c r="J109" s="29" t="s">
        <v>120</v>
      </c>
      <c r="K109" s="105">
        <v>36.459647816649266</v>
      </c>
      <c r="L109" s="29" t="s">
        <v>882</v>
      </c>
      <c r="M109" s="31" t="s">
        <v>31</v>
      </c>
    </row>
    <row r="110" spans="2:13" x14ac:dyDescent="0.45">
      <c r="B110" s="32">
        <v>106</v>
      </c>
      <c r="C110" s="33" t="str">
        <f>INDEX('NRI 2025'!$A$6:$I$133,MATCH('T1 NRI R&amp;S'!$B110,'NRI 2025'!$I$6:$I$133,0),1)</f>
        <v>Lao People's Democratic Republic</v>
      </c>
      <c r="D110" s="34">
        <f>INDEX('NRI 2025'!$A$6:$I$133,MATCH('T1 NRI R&amp;S'!$C110,'NRI 2025'!$A$6:$A$133,0),7)</f>
        <v>36.263461266899874</v>
      </c>
      <c r="E110" s="33" t="str">
        <f>INDEX('NRI 2025'!$A$6:$I$133,MATCH('T1 NRI R&amp;S'!$C110,'NRI 2025'!$A$6:$A$133,0),4)</f>
        <v>Lower middle-income</v>
      </c>
      <c r="F110" s="35" t="str">
        <f>INDEX('NRI 2025'!$A$6:$I$133,MATCH('T1 NRI R&amp;S'!$C110,'NRI 2025'!$A$6:$A$133,0),3)</f>
        <v>Asia &amp; Pacific</v>
      </c>
      <c r="I110" s="32">
        <v>106</v>
      </c>
      <c r="J110" s="33" t="s">
        <v>388</v>
      </c>
      <c r="K110" s="106">
        <v>36.263461266899874</v>
      </c>
      <c r="L110" s="33" t="s">
        <v>882</v>
      </c>
      <c r="M110" s="35" t="s">
        <v>31</v>
      </c>
    </row>
    <row r="111" spans="2:13" x14ac:dyDescent="0.45">
      <c r="B111" s="28">
        <v>107</v>
      </c>
      <c r="C111" s="29" t="str">
        <f>INDEX('NRI 2025'!$A$6:$I$133,MATCH('T1 NRI R&amp;S'!$B111,'NRI 2025'!$I$6:$I$133,0),1)</f>
        <v>Nepal</v>
      </c>
      <c r="D111" s="30">
        <f>INDEX('NRI 2025'!$A$6:$I$133,MATCH('T1 NRI R&amp;S'!$C111,'NRI 2025'!$A$6:$A$133,0),7)</f>
        <v>35.67768877825759</v>
      </c>
      <c r="E111" s="29" t="str">
        <f>INDEX('NRI 2025'!$A$6:$I$133,MATCH('T1 NRI R&amp;S'!$C111,'NRI 2025'!$A$6:$A$133,0),4)</f>
        <v>Lower middle-income</v>
      </c>
      <c r="F111" s="31" t="str">
        <f>INDEX('NRI 2025'!$A$6:$I$133,MATCH('T1 NRI R&amp;S'!$C111,'NRI 2025'!$A$6:$A$133,0),3)</f>
        <v>Asia &amp; Pacific</v>
      </c>
      <c r="I111" s="28">
        <v>107</v>
      </c>
      <c r="J111" s="29" t="s">
        <v>124</v>
      </c>
      <c r="K111" s="105">
        <v>35.67768877825759</v>
      </c>
      <c r="L111" s="29" t="s">
        <v>882</v>
      </c>
      <c r="M111" s="31" t="s">
        <v>31</v>
      </c>
    </row>
    <row r="112" spans="2:13" x14ac:dyDescent="0.45">
      <c r="B112" s="32">
        <v>108</v>
      </c>
      <c r="C112" s="33" t="str">
        <f>INDEX('NRI 2025'!$A$6:$I$133,MATCH('T1 NRI R&amp;S'!$B112,'NRI 2025'!$I$6:$I$133,0),1)</f>
        <v>Honduras</v>
      </c>
      <c r="D112" s="34">
        <f>INDEX('NRI 2025'!$A$6:$I$133,MATCH('T1 NRI R&amp;S'!$C112,'NRI 2025'!$A$6:$A$133,0),7)</f>
        <v>35.475847062277502</v>
      </c>
      <c r="E112" s="33" t="str">
        <f>INDEX('NRI 2025'!$A$6:$I$133,MATCH('T1 NRI R&amp;S'!$C112,'NRI 2025'!$A$6:$A$133,0),4)</f>
        <v>Lower middle-income</v>
      </c>
      <c r="F112" s="35" t="str">
        <f>INDEX('NRI 2025'!$A$6:$I$133,MATCH('T1 NRI R&amp;S'!$C112,'NRI 2025'!$A$6:$A$133,0),3)</f>
        <v>The Americas</v>
      </c>
      <c r="I112" s="32">
        <v>108</v>
      </c>
      <c r="J112" s="33" t="s">
        <v>118</v>
      </c>
      <c r="K112" s="106">
        <v>35.475847062277502</v>
      </c>
      <c r="L112" s="33" t="s">
        <v>882</v>
      </c>
      <c r="M112" s="35" t="s">
        <v>37</v>
      </c>
    </row>
    <row r="113" spans="2:13" x14ac:dyDescent="0.45">
      <c r="B113" s="28">
        <v>109</v>
      </c>
      <c r="C113" s="29" t="str">
        <f>INDEX('NRI 2025'!$A$6:$I$133,MATCH('T1 NRI R&amp;S'!$B113,'NRI 2025'!$I$6:$I$133,0),1)</f>
        <v>Algeria</v>
      </c>
      <c r="D113" s="30">
        <f>INDEX('NRI 2025'!$A$6:$I$133,MATCH('T1 NRI R&amp;S'!$C113,'NRI 2025'!$A$6:$A$133,0),7)</f>
        <v>35.267657918833528</v>
      </c>
      <c r="E113" s="29" t="str">
        <f>INDEX('NRI 2025'!$A$6:$I$133,MATCH('T1 NRI R&amp;S'!$C113,'NRI 2025'!$A$6:$A$133,0),4)</f>
        <v>Upper middle-income</v>
      </c>
      <c r="F113" s="31" t="str">
        <f>INDEX('NRI 2025'!$A$6:$I$133,MATCH('T1 NRI R&amp;S'!$C113,'NRI 2025'!$A$6:$A$133,0),3)</f>
        <v>Arab States</v>
      </c>
      <c r="I113" s="28">
        <v>109</v>
      </c>
      <c r="J113" s="29" t="s">
        <v>115</v>
      </c>
      <c r="K113" s="105">
        <v>35.267657918833528</v>
      </c>
      <c r="L113" s="29" t="s">
        <v>881</v>
      </c>
      <c r="M113" s="31" t="s">
        <v>29</v>
      </c>
    </row>
    <row r="114" spans="2:13" x14ac:dyDescent="0.45">
      <c r="B114" s="32">
        <v>110</v>
      </c>
      <c r="C114" s="33" t="str">
        <f>INDEX('NRI 2025'!$A$6:$I$133,MATCH('T1 NRI R&amp;S'!$B114,'NRI 2025'!$I$6:$I$133,0),1)</f>
        <v>Benin</v>
      </c>
      <c r="D114" s="34">
        <f>INDEX('NRI 2025'!$A$6:$I$133,MATCH('T1 NRI R&amp;S'!$C114,'NRI 2025'!$A$6:$A$133,0),7)</f>
        <v>34.665958080762863</v>
      </c>
      <c r="E114" s="33" t="str">
        <f>INDEX('NRI 2025'!$A$6:$I$133,MATCH('T1 NRI R&amp;S'!$C114,'NRI 2025'!$A$6:$A$133,0),4)</f>
        <v>Lower middle-income</v>
      </c>
      <c r="F114" s="35" t="str">
        <f>INDEX('NRI 2025'!$A$6:$I$133,MATCH('T1 NRI R&amp;S'!$C114,'NRI 2025'!$A$6:$A$133,0),3)</f>
        <v>Africa</v>
      </c>
      <c r="I114" s="32">
        <v>110</v>
      </c>
      <c r="J114" s="33" t="s">
        <v>403</v>
      </c>
      <c r="K114" s="106">
        <v>34.665958080762863</v>
      </c>
      <c r="L114" s="33" t="s">
        <v>882</v>
      </c>
      <c r="M114" s="35" t="s">
        <v>25</v>
      </c>
    </row>
    <row r="115" spans="2:13" x14ac:dyDescent="0.45">
      <c r="B115" s="28">
        <v>111</v>
      </c>
      <c r="C115" s="29" t="str">
        <f>INDEX('NRI 2025'!$A$6:$I$133,MATCH('T1 NRI R&amp;S'!$B115,'NRI 2025'!$I$6:$I$133,0),1)</f>
        <v>Botswana</v>
      </c>
      <c r="D115" s="30">
        <f>INDEX('NRI 2025'!$A$6:$I$133,MATCH('T1 NRI R&amp;S'!$C115,'NRI 2025'!$A$6:$A$133,0),7)</f>
        <v>34.398957952364867</v>
      </c>
      <c r="E115" s="29" t="str">
        <f>INDEX('NRI 2025'!$A$6:$I$133,MATCH('T1 NRI R&amp;S'!$C115,'NRI 2025'!$A$6:$A$133,0),4)</f>
        <v>Upper middle-income</v>
      </c>
      <c r="F115" s="31" t="str">
        <f>INDEX('NRI 2025'!$A$6:$I$133,MATCH('T1 NRI R&amp;S'!$C115,'NRI 2025'!$A$6:$A$133,0),3)</f>
        <v>Africa</v>
      </c>
      <c r="I115" s="28">
        <v>111</v>
      </c>
      <c r="J115" s="29" t="s">
        <v>116</v>
      </c>
      <c r="K115" s="105">
        <v>34.398957952364867</v>
      </c>
      <c r="L115" s="29" t="s">
        <v>881</v>
      </c>
      <c r="M115" s="31" t="s">
        <v>25</v>
      </c>
    </row>
    <row r="116" spans="2:13" x14ac:dyDescent="0.45">
      <c r="B116" s="32">
        <v>112</v>
      </c>
      <c r="C116" s="33" t="str">
        <f>INDEX('NRI 2025'!$A$6:$I$133,MATCH('T1 NRI R&amp;S'!$B116,'NRI 2025'!$I$6:$I$133,0),1)</f>
        <v>Uganda</v>
      </c>
      <c r="D116" s="34">
        <f>INDEX('NRI 2025'!$A$6:$I$133,MATCH('T1 NRI R&amp;S'!$C116,'NRI 2025'!$A$6:$A$133,0),7)</f>
        <v>34.285730581809965</v>
      </c>
      <c r="E116" s="33" t="str">
        <f>INDEX('NRI 2025'!$A$6:$I$133,MATCH('T1 NRI R&amp;S'!$C116,'NRI 2025'!$A$6:$A$133,0),4)</f>
        <v>Low-income</v>
      </c>
      <c r="F116" s="35" t="str">
        <f>INDEX('NRI 2025'!$A$6:$I$133,MATCH('T1 NRI R&amp;S'!$C116,'NRI 2025'!$A$6:$A$133,0),3)</f>
        <v>Africa</v>
      </c>
      <c r="I116" s="32">
        <v>112</v>
      </c>
      <c r="J116" s="33" t="s">
        <v>125</v>
      </c>
      <c r="K116" s="106">
        <v>34.285730581809965</v>
      </c>
      <c r="L116" s="33" t="s">
        <v>883</v>
      </c>
      <c r="M116" s="35" t="s">
        <v>25</v>
      </c>
    </row>
    <row r="117" spans="2:13" x14ac:dyDescent="0.45">
      <c r="B117" s="28">
        <v>113</v>
      </c>
      <c r="C117" s="29" t="str">
        <f>INDEX('NRI 2025'!$A$6:$I$133,MATCH('T1 NRI R&amp;S'!$B117,'NRI 2025'!$I$6:$I$133,0),1)</f>
        <v>Zambia</v>
      </c>
      <c r="D117" s="30">
        <f>INDEX('NRI 2025'!$A$6:$I$133,MATCH('T1 NRI R&amp;S'!$C117,'NRI 2025'!$A$6:$A$133,0),7)</f>
        <v>33.953938692334319</v>
      </c>
      <c r="E117" s="29" t="str">
        <f>INDEX('NRI 2025'!$A$6:$I$133,MATCH('T1 NRI R&amp;S'!$C117,'NRI 2025'!$A$6:$A$133,0),4)</f>
        <v>Lower middle-income</v>
      </c>
      <c r="F117" s="31" t="str">
        <f>INDEX('NRI 2025'!$A$6:$I$133,MATCH('T1 NRI R&amp;S'!$C117,'NRI 2025'!$A$6:$A$133,0),3)</f>
        <v>Africa</v>
      </c>
      <c r="I117" s="28">
        <v>113</v>
      </c>
      <c r="J117" s="29" t="s">
        <v>122</v>
      </c>
      <c r="K117" s="105">
        <v>33.953938692334319</v>
      </c>
      <c r="L117" s="29" t="s">
        <v>882</v>
      </c>
      <c r="M117" s="31" t="s">
        <v>25</v>
      </c>
    </row>
    <row r="118" spans="2:13" x14ac:dyDescent="0.45">
      <c r="B118" s="32">
        <v>114</v>
      </c>
      <c r="C118" s="33" t="str">
        <f>INDEX('NRI 2025'!$A$6:$I$133,MATCH('T1 NRI R&amp;S'!$B118,'NRI 2025'!$I$6:$I$133,0),1)</f>
        <v>Namibia</v>
      </c>
      <c r="D118" s="34">
        <f>INDEX('NRI 2025'!$A$6:$I$133,MATCH('T1 NRI R&amp;S'!$C118,'NRI 2025'!$A$6:$A$133,0),7)</f>
        <v>33.467395294588783</v>
      </c>
      <c r="E118" s="33" t="str">
        <f>INDEX('NRI 2025'!$A$6:$I$133,MATCH('T1 NRI R&amp;S'!$C118,'NRI 2025'!$A$6:$A$133,0),4)</f>
        <v>Lower middle-income</v>
      </c>
      <c r="F118" s="35" t="str">
        <f>INDEX('NRI 2025'!$A$6:$I$133,MATCH('T1 NRI R&amp;S'!$C118,'NRI 2025'!$A$6:$A$133,0),3)</f>
        <v>Africa</v>
      </c>
      <c r="I118" s="32">
        <v>114</v>
      </c>
      <c r="J118" s="33" t="s">
        <v>121</v>
      </c>
      <c r="K118" s="106">
        <v>33.467395294588783</v>
      </c>
      <c r="L118" s="33" t="s">
        <v>882</v>
      </c>
      <c r="M118" s="35" t="s">
        <v>25</v>
      </c>
    </row>
    <row r="119" spans="2:13" x14ac:dyDescent="0.45">
      <c r="B119" s="28">
        <v>115</v>
      </c>
      <c r="C119" s="29" t="str">
        <f>INDEX('NRI 2025'!$A$6:$I$133,MATCH('T1 NRI R&amp;S'!$B119,'NRI 2025'!$I$6:$I$133,0),1)</f>
        <v>Cameroon</v>
      </c>
      <c r="D119" s="30">
        <f>INDEX('NRI 2025'!$A$6:$I$133,MATCH('T1 NRI R&amp;S'!$C119,'NRI 2025'!$A$6:$A$133,0),7)</f>
        <v>32.191250779160576</v>
      </c>
      <c r="E119" s="29" t="str">
        <f>INDEX('NRI 2025'!$A$6:$I$133,MATCH('T1 NRI R&amp;S'!$C119,'NRI 2025'!$A$6:$A$133,0),4)</f>
        <v>Lower middle-income</v>
      </c>
      <c r="F119" s="31" t="str">
        <f>INDEX('NRI 2025'!$A$6:$I$133,MATCH('T1 NRI R&amp;S'!$C119,'NRI 2025'!$A$6:$A$133,0),3)</f>
        <v>Africa</v>
      </c>
      <c r="I119" s="28">
        <v>115</v>
      </c>
      <c r="J119" s="29" t="s">
        <v>123</v>
      </c>
      <c r="K119" s="105">
        <v>32.191250779160576</v>
      </c>
      <c r="L119" s="29" t="s">
        <v>882</v>
      </c>
      <c r="M119" s="31" t="s">
        <v>25</v>
      </c>
    </row>
    <row r="120" spans="2:13" x14ac:dyDescent="0.45">
      <c r="B120" s="32">
        <v>116</v>
      </c>
      <c r="C120" s="33" t="str">
        <f>INDEX('NRI 2025'!$A$6:$I$133,MATCH('T1 NRI R&amp;S'!$B120,'NRI 2025'!$I$6:$I$133,0),1)</f>
        <v>Malawi</v>
      </c>
      <c r="D120" s="34">
        <f>INDEX('NRI 2025'!$A$6:$I$133,MATCH('T1 NRI R&amp;S'!$C120,'NRI 2025'!$A$6:$A$133,0),7)</f>
        <v>31.482125206151458</v>
      </c>
      <c r="E120" s="33" t="str">
        <f>INDEX('NRI 2025'!$A$6:$I$133,MATCH('T1 NRI R&amp;S'!$C120,'NRI 2025'!$A$6:$A$133,0),4)</f>
        <v>Low-income</v>
      </c>
      <c r="F120" s="35" t="str">
        <f>INDEX('NRI 2025'!$A$6:$I$133,MATCH('T1 NRI R&amp;S'!$C120,'NRI 2025'!$A$6:$A$133,0),3)</f>
        <v>Africa</v>
      </c>
      <c r="I120" s="32">
        <v>116</v>
      </c>
      <c r="J120" s="33" t="s">
        <v>128</v>
      </c>
      <c r="K120" s="106">
        <v>31.482125206151458</v>
      </c>
      <c r="L120" s="33" t="s">
        <v>883</v>
      </c>
      <c r="M120" s="35" t="s">
        <v>25</v>
      </c>
    </row>
    <row r="121" spans="2:13" x14ac:dyDescent="0.45">
      <c r="B121" s="28">
        <v>117</v>
      </c>
      <c r="C121" s="29" t="str">
        <f>INDEX('NRI 2025'!$A$6:$I$133,MATCH('T1 NRI R&amp;S'!$B121,'NRI 2025'!$I$6:$I$133,0),1)</f>
        <v>Nicaragua</v>
      </c>
      <c r="D121" s="30">
        <f>INDEX('NRI 2025'!$A$6:$I$133,MATCH('T1 NRI R&amp;S'!$C121,'NRI 2025'!$A$6:$A$133,0),7)</f>
        <v>31.14744518936925</v>
      </c>
      <c r="E121" s="29" t="str">
        <f>INDEX('NRI 2025'!$A$6:$I$133,MATCH('T1 NRI R&amp;S'!$C121,'NRI 2025'!$A$6:$A$133,0),4)</f>
        <v>Lower middle-income</v>
      </c>
      <c r="F121" s="31" t="str">
        <f>INDEX('NRI 2025'!$A$6:$I$133,MATCH('T1 NRI R&amp;S'!$C121,'NRI 2025'!$A$6:$A$133,0),3)</f>
        <v>The Americas</v>
      </c>
      <c r="I121" s="28">
        <v>117</v>
      </c>
      <c r="J121" s="29" t="s">
        <v>597</v>
      </c>
      <c r="K121" s="105">
        <v>31.14744518936925</v>
      </c>
      <c r="L121" s="29" t="s">
        <v>882</v>
      </c>
      <c r="M121" s="31" t="s">
        <v>37</v>
      </c>
    </row>
    <row r="122" spans="2:13" x14ac:dyDescent="0.45">
      <c r="B122" s="32">
        <v>118</v>
      </c>
      <c r="C122" s="33" t="str">
        <f>INDEX('NRI 2025'!$A$6:$I$133,MATCH('T1 NRI R&amp;S'!$B122,'NRI 2025'!$I$6:$I$133,0),1)</f>
        <v>Zimbabwe</v>
      </c>
      <c r="D122" s="34">
        <f>INDEX('NRI 2025'!$A$6:$I$133,MATCH('T1 NRI R&amp;S'!$C122,'NRI 2025'!$A$6:$A$133,0),7)</f>
        <v>31.099032696451211</v>
      </c>
      <c r="E122" s="33" t="str">
        <f>INDEX('NRI 2025'!$A$6:$I$133,MATCH('T1 NRI R&amp;S'!$C122,'NRI 2025'!$A$6:$A$133,0),4)</f>
        <v>Lower middle-income</v>
      </c>
      <c r="F122" s="35" t="str">
        <f>INDEX('NRI 2025'!$A$6:$I$133,MATCH('T1 NRI R&amp;S'!$C122,'NRI 2025'!$A$6:$A$133,0),3)</f>
        <v>Africa</v>
      </c>
      <c r="I122" s="32">
        <v>118</v>
      </c>
      <c r="J122" s="33" t="s">
        <v>130</v>
      </c>
      <c r="K122" s="106">
        <v>31.099032696451211</v>
      </c>
      <c r="L122" s="33" t="s">
        <v>882</v>
      </c>
      <c r="M122" s="35" t="s">
        <v>25</v>
      </c>
    </row>
    <row r="123" spans="2:13" x14ac:dyDescent="0.45">
      <c r="B123" s="28">
        <v>119</v>
      </c>
      <c r="C123" s="29" t="str">
        <f>INDEX('NRI 2025'!$A$6:$I$133,MATCH('T1 NRI R&amp;S'!$B123,'NRI 2025'!$I$6:$I$133,0),1)</f>
        <v>Ethiopia</v>
      </c>
      <c r="D123" s="30">
        <f>INDEX('NRI 2025'!$A$6:$I$133,MATCH('T1 NRI R&amp;S'!$C123,'NRI 2025'!$A$6:$A$133,0),7)</f>
        <v>27.518350468240662</v>
      </c>
      <c r="E123" s="29" t="str">
        <f>INDEX('NRI 2025'!$A$6:$I$133,MATCH('T1 NRI R&amp;S'!$C123,'NRI 2025'!$A$6:$A$133,0),4)</f>
        <v>Low-income</v>
      </c>
      <c r="F123" s="31" t="str">
        <f>INDEX('NRI 2025'!$A$6:$I$133,MATCH('T1 NRI R&amp;S'!$C123,'NRI 2025'!$A$6:$A$133,0),3)</f>
        <v>Africa</v>
      </c>
      <c r="I123" s="28">
        <v>119</v>
      </c>
      <c r="J123" s="29" t="s">
        <v>134</v>
      </c>
      <c r="K123" s="105">
        <v>27.518350468240662</v>
      </c>
      <c r="L123" s="29" t="s">
        <v>883</v>
      </c>
      <c r="M123" s="31" t="s">
        <v>25</v>
      </c>
    </row>
    <row r="124" spans="2:13" x14ac:dyDescent="0.45">
      <c r="B124" s="32">
        <v>120</v>
      </c>
      <c r="C124" s="33" t="str">
        <f>INDEX('NRI 2025'!$A$6:$I$133,MATCH('T1 NRI R&amp;S'!$B124,'NRI 2025'!$I$6:$I$133,0),1)</f>
        <v>Mali</v>
      </c>
      <c r="D124" s="34">
        <f>INDEX('NRI 2025'!$A$6:$I$133,MATCH('T1 NRI R&amp;S'!$C124,'NRI 2025'!$A$6:$A$133,0),7)</f>
        <v>26.874223882588801</v>
      </c>
      <c r="E124" s="33" t="str">
        <f>INDEX('NRI 2025'!$A$6:$I$133,MATCH('T1 NRI R&amp;S'!$C124,'NRI 2025'!$A$6:$A$133,0),4)</f>
        <v>Low-income</v>
      </c>
      <c r="F124" s="35" t="str">
        <f>INDEX('NRI 2025'!$A$6:$I$133,MATCH('T1 NRI R&amp;S'!$C124,'NRI 2025'!$A$6:$A$133,0),3)</f>
        <v>Africa</v>
      </c>
      <c r="I124" s="32">
        <v>120</v>
      </c>
      <c r="J124" s="33" t="s">
        <v>127</v>
      </c>
      <c r="K124" s="106">
        <v>26.874223882588801</v>
      </c>
      <c r="L124" s="33" t="s">
        <v>883</v>
      </c>
      <c r="M124" s="35" t="s">
        <v>25</v>
      </c>
    </row>
    <row r="125" spans="2:13" x14ac:dyDescent="0.45">
      <c r="B125" s="28">
        <v>121</v>
      </c>
      <c r="C125" s="29" t="str">
        <f>INDEX('NRI 2025'!$A$6:$I$133,MATCH('T1 NRI R&amp;S'!$B125,'NRI 2025'!$I$6:$I$133,0),1)</f>
        <v>Burkina Faso</v>
      </c>
      <c r="D125" s="30">
        <f>INDEX('NRI 2025'!$A$6:$I$133,MATCH('T1 NRI R&amp;S'!$C125,'NRI 2025'!$A$6:$A$133,0),7)</f>
        <v>25.572758907038391</v>
      </c>
      <c r="E125" s="29" t="str">
        <f>INDEX('NRI 2025'!$A$6:$I$133,MATCH('T1 NRI R&amp;S'!$C125,'NRI 2025'!$A$6:$A$133,0),4)</f>
        <v>Low-income</v>
      </c>
      <c r="F125" s="31" t="str">
        <f>INDEX('NRI 2025'!$A$6:$I$133,MATCH('T1 NRI R&amp;S'!$C125,'NRI 2025'!$A$6:$A$133,0),3)</f>
        <v>Africa</v>
      </c>
      <c r="I125" s="28">
        <v>121</v>
      </c>
      <c r="J125" s="29" t="s">
        <v>126</v>
      </c>
      <c r="K125" s="105">
        <v>25.572758907038391</v>
      </c>
      <c r="L125" s="29" t="s">
        <v>883</v>
      </c>
      <c r="M125" s="31" t="s">
        <v>25</v>
      </c>
    </row>
    <row r="126" spans="2:13" x14ac:dyDescent="0.45">
      <c r="B126" s="32">
        <v>122</v>
      </c>
      <c r="C126" s="33" t="str">
        <f>INDEX('NRI 2025'!$A$6:$I$133,MATCH('T1 NRI R&amp;S'!$B126,'NRI 2025'!$I$6:$I$133,0),1)</f>
        <v>Mozambique</v>
      </c>
      <c r="D126" s="34">
        <f>INDEX('NRI 2025'!$A$6:$I$133,MATCH('T1 NRI R&amp;S'!$C126,'NRI 2025'!$A$6:$A$133,0),7)</f>
        <v>25.295789646713139</v>
      </c>
      <c r="E126" s="33" t="str">
        <f>INDEX('NRI 2025'!$A$6:$I$133,MATCH('T1 NRI R&amp;S'!$C126,'NRI 2025'!$A$6:$A$133,0),4)</f>
        <v>Low-income</v>
      </c>
      <c r="F126" s="35" t="str">
        <f>INDEX('NRI 2025'!$A$6:$I$133,MATCH('T1 NRI R&amp;S'!$C126,'NRI 2025'!$A$6:$A$133,0),3)</f>
        <v>Africa</v>
      </c>
      <c r="I126" s="32">
        <v>122</v>
      </c>
      <c r="J126" s="33" t="s">
        <v>132</v>
      </c>
      <c r="K126" s="106">
        <v>25.295789646713139</v>
      </c>
      <c r="L126" s="33" t="s">
        <v>883</v>
      </c>
      <c r="M126" s="35" t="s">
        <v>25</v>
      </c>
    </row>
    <row r="127" spans="2:13" x14ac:dyDescent="0.45">
      <c r="B127" s="28">
        <v>123</v>
      </c>
      <c r="C127" s="29" t="str">
        <f>INDEX('NRI 2025'!$A$6:$I$133,MATCH('T1 NRI R&amp;S'!$B127,'NRI 2025'!$I$6:$I$133,0),1)</f>
        <v>Lesotho</v>
      </c>
      <c r="D127" s="30">
        <f>INDEX('NRI 2025'!$A$6:$I$133,MATCH('T1 NRI R&amp;S'!$C127,'NRI 2025'!$A$6:$A$133,0),7)</f>
        <v>24.999429141513847</v>
      </c>
      <c r="E127" s="29" t="str">
        <f>INDEX('NRI 2025'!$A$6:$I$133,MATCH('T1 NRI R&amp;S'!$C127,'NRI 2025'!$A$6:$A$133,0),4)</f>
        <v>Lower middle-income</v>
      </c>
      <c r="F127" s="31" t="str">
        <f>INDEX('NRI 2025'!$A$6:$I$133,MATCH('T1 NRI R&amp;S'!$C127,'NRI 2025'!$A$6:$A$133,0),3)</f>
        <v>Africa</v>
      </c>
      <c r="I127" s="28">
        <v>123</v>
      </c>
      <c r="J127" s="29" t="s">
        <v>131</v>
      </c>
      <c r="K127" s="105">
        <v>24.999429141513847</v>
      </c>
      <c r="L127" s="29" t="s">
        <v>882</v>
      </c>
      <c r="M127" s="31" t="s">
        <v>25</v>
      </c>
    </row>
    <row r="128" spans="2:13" x14ac:dyDescent="0.45">
      <c r="B128" s="32">
        <v>124</v>
      </c>
      <c r="C128" s="33" t="str">
        <f>INDEX('NRI 2025'!$A$6:$I$133,MATCH('T1 NRI R&amp;S'!$B128,'NRI 2025'!$I$6:$I$133,0),1)</f>
        <v>Madagascar</v>
      </c>
      <c r="D128" s="34">
        <f>INDEX('NRI 2025'!$A$6:$I$133,MATCH('T1 NRI R&amp;S'!$C128,'NRI 2025'!$A$6:$A$133,0),7)</f>
        <v>23.561150609893417</v>
      </c>
      <c r="E128" s="33" t="str">
        <f>INDEX('NRI 2025'!$A$6:$I$133,MATCH('T1 NRI R&amp;S'!$C128,'NRI 2025'!$A$6:$A$133,0),4)</f>
        <v>Low-income</v>
      </c>
      <c r="F128" s="35" t="str">
        <f>INDEX('NRI 2025'!$A$6:$I$133,MATCH('T1 NRI R&amp;S'!$C128,'NRI 2025'!$A$6:$A$133,0),3)</f>
        <v>Africa</v>
      </c>
      <c r="I128" s="32">
        <v>124</v>
      </c>
      <c r="J128" s="33" t="s">
        <v>129</v>
      </c>
      <c r="K128" s="106">
        <v>23.561150609893417</v>
      </c>
      <c r="L128" s="33" t="s">
        <v>883</v>
      </c>
      <c r="M128" s="35" t="s">
        <v>25</v>
      </c>
    </row>
    <row r="129" spans="2:13" x14ac:dyDescent="0.45">
      <c r="B129" s="28">
        <v>125</v>
      </c>
      <c r="C129" s="29" t="str">
        <f>INDEX('NRI 2025'!$A$6:$I$133,MATCH('T1 NRI R&amp;S'!$B129,'NRI 2025'!$I$6:$I$133,0),1)</f>
        <v>Angola</v>
      </c>
      <c r="D129" s="30">
        <f>INDEX('NRI 2025'!$A$6:$I$133,MATCH('T1 NRI R&amp;S'!$C129,'NRI 2025'!$A$6:$A$133,0),7)</f>
        <v>23.165481572279646</v>
      </c>
      <c r="E129" s="29" t="str">
        <f>INDEX('NRI 2025'!$A$6:$I$133,MATCH('T1 NRI R&amp;S'!$C129,'NRI 2025'!$A$6:$A$133,0),4)</f>
        <v>Lower middle-income</v>
      </c>
      <c r="F129" s="31" t="str">
        <f>INDEX('NRI 2025'!$A$6:$I$133,MATCH('T1 NRI R&amp;S'!$C129,'NRI 2025'!$A$6:$A$133,0),3)</f>
        <v>Africa</v>
      </c>
      <c r="I129" s="28">
        <v>125</v>
      </c>
      <c r="J129" s="29" t="s">
        <v>133</v>
      </c>
      <c r="K129" s="105">
        <v>23.165481572279646</v>
      </c>
      <c r="L129" s="29" t="s">
        <v>882</v>
      </c>
      <c r="M129" s="31" t="s">
        <v>25</v>
      </c>
    </row>
    <row r="130" spans="2:13" x14ac:dyDescent="0.45">
      <c r="B130" s="32">
        <v>126</v>
      </c>
      <c r="C130" s="33" t="str">
        <f>INDEX('NRI 2025'!$A$6:$I$133,MATCH('T1 NRI R&amp;S'!$B130,'NRI 2025'!$I$6:$I$133,0),1)</f>
        <v>Mauritania</v>
      </c>
      <c r="D130" s="34">
        <f>INDEX('NRI 2025'!$A$6:$I$133,MATCH('T1 NRI R&amp;S'!$C130,'NRI 2025'!$A$6:$A$133,0),7)</f>
        <v>23.030420238854425</v>
      </c>
      <c r="E130" s="33" t="str">
        <f>INDEX('NRI 2025'!$A$6:$I$133,MATCH('T1 NRI R&amp;S'!$C130,'NRI 2025'!$A$6:$A$133,0),4)</f>
        <v>Lower middle-income</v>
      </c>
      <c r="F130" s="35" t="str">
        <f>INDEX('NRI 2025'!$A$6:$I$133,MATCH('T1 NRI R&amp;S'!$C130,'NRI 2025'!$A$6:$A$133,0),3)</f>
        <v>Arab States</v>
      </c>
      <c r="I130" s="32">
        <v>126</v>
      </c>
      <c r="J130" s="33" t="s">
        <v>598</v>
      </c>
      <c r="K130" s="106">
        <v>23.030420238854425</v>
      </c>
      <c r="L130" s="33" t="s">
        <v>882</v>
      </c>
      <c r="M130" s="35" t="s">
        <v>29</v>
      </c>
    </row>
    <row r="131" spans="2:13" ht="14.65" thickBot="1" x14ac:dyDescent="0.5">
      <c r="B131" s="90">
        <v>133</v>
      </c>
      <c r="C131" s="91" t="e">
        <f>INDEX('NRI 2025'!$A$6:$I$133,MATCH('T1 NRI R&amp;S'!$B131,'NRI 2025'!$I$6:$I$133,0),1)</f>
        <v>#N/A</v>
      </c>
      <c r="D131" s="92" t="e">
        <f>INDEX('NRI 2025'!$A$6:$I$133,MATCH('T1 NRI R&amp;S'!$C131,'NRI 2025'!$A$6:$A$133,0),7)</f>
        <v>#N/A</v>
      </c>
      <c r="E131" s="91" t="e">
        <f>INDEX('NRI 2025'!$A$6:$I$133,MATCH('T1 NRI R&amp;S'!$C131,'NRI 2025'!$A$6:$A$133,0),4)</f>
        <v>#N/A</v>
      </c>
      <c r="F131" s="93" t="e">
        <f>INDEX('NRI 2025'!$A$6:$I$133,MATCH('T1 NRI R&amp;S'!$C131,'NRI 2025'!$A$6:$A$133,0),3)</f>
        <v>#N/A</v>
      </c>
      <c r="I131" s="90">
        <v>127</v>
      </c>
      <c r="J131" s="91" t="s">
        <v>135</v>
      </c>
      <c r="K131" s="107">
        <v>14.757430559047259</v>
      </c>
      <c r="L131" s="91" t="s">
        <v>883</v>
      </c>
      <c r="M131" s="93" t="s">
        <v>25</v>
      </c>
    </row>
    <row r="132" spans="2:13" ht="14.65" thickTop="1" x14ac:dyDescent="0.45">
      <c r="B132" s="2" t="s">
        <v>138</v>
      </c>
      <c r="I132" s="2" t="s">
        <v>138</v>
      </c>
    </row>
    <row r="133" spans="2:13" x14ac:dyDescent="0.45">
      <c r="B133" t="s">
        <v>614</v>
      </c>
      <c r="I133" t="s">
        <v>887</v>
      </c>
    </row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1:G132"/>
  <sheetViews>
    <sheetView workbookViewId="0">
      <selection activeCell="B5" sqref="B5"/>
    </sheetView>
  </sheetViews>
  <sheetFormatPr defaultRowHeight="14.25" x14ac:dyDescent="0.45"/>
  <cols>
    <col min="1" max="1" width="9.06640625" customWidth="1"/>
    <col min="2" max="2" width="31.59765625" bestFit="1" customWidth="1"/>
  </cols>
  <sheetData>
    <row r="1" spans="2:7" x14ac:dyDescent="0.45">
      <c r="B1" t="s">
        <v>7</v>
      </c>
      <c r="C1" t="s">
        <v>761</v>
      </c>
      <c r="D1" t="s">
        <v>621</v>
      </c>
      <c r="E1" t="s">
        <v>622</v>
      </c>
      <c r="F1" t="s">
        <v>623</v>
      </c>
      <c r="G1" t="s">
        <v>624</v>
      </c>
    </row>
    <row r="3" spans="2:7" x14ac:dyDescent="0.45">
      <c r="B3" t="s">
        <v>593</v>
      </c>
    </row>
    <row r="4" spans="2:7" ht="58.9" x14ac:dyDescent="0.45">
      <c r="B4" s="68" t="s">
        <v>7</v>
      </c>
      <c r="C4" s="69" t="s">
        <v>139</v>
      </c>
      <c r="D4" s="69" t="s">
        <v>1</v>
      </c>
      <c r="E4" s="69" t="s">
        <v>2</v>
      </c>
      <c r="F4" s="69" t="s">
        <v>3</v>
      </c>
      <c r="G4" s="70" t="s">
        <v>4</v>
      </c>
    </row>
    <row r="5" spans="2:7" x14ac:dyDescent="0.45">
      <c r="B5" s="14" t="s">
        <v>281</v>
      </c>
      <c r="C5" s="15">
        <v>1</v>
      </c>
      <c r="D5" s="15">
        <v>1</v>
      </c>
      <c r="E5" s="15">
        <v>1</v>
      </c>
      <c r="F5" s="15">
        <v>9</v>
      </c>
      <c r="G5" s="15">
        <v>16</v>
      </c>
    </row>
    <row r="6" spans="2:7" x14ac:dyDescent="0.45">
      <c r="B6" s="17" t="s">
        <v>13</v>
      </c>
      <c r="C6" s="18">
        <v>2</v>
      </c>
      <c r="D6" s="18">
        <v>9</v>
      </c>
      <c r="E6" s="18">
        <v>10</v>
      </c>
      <c r="F6" s="18">
        <v>4</v>
      </c>
      <c r="G6" s="19">
        <v>1</v>
      </c>
    </row>
    <row r="7" spans="2:7" x14ac:dyDescent="0.45">
      <c r="B7" s="14" t="s">
        <v>15</v>
      </c>
      <c r="C7" s="15">
        <v>3</v>
      </c>
      <c r="D7" s="15">
        <v>4</v>
      </c>
      <c r="E7" s="15">
        <v>4</v>
      </c>
      <c r="F7" s="15">
        <v>15</v>
      </c>
      <c r="G7" s="16">
        <v>7</v>
      </c>
    </row>
    <row r="8" spans="2:7" x14ac:dyDescent="0.45">
      <c r="B8" s="17" t="s">
        <v>12</v>
      </c>
      <c r="C8" s="18">
        <v>4</v>
      </c>
      <c r="D8" s="18">
        <v>8</v>
      </c>
      <c r="E8" s="18">
        <v>17</v>
      </c>
      <c r="F8" s="18">
        <v>1</v>
      </c>
      <c r="G8" s="19">
        <v>3</v>
      </c>
    </row>
    <row r="9" spans="2:7" x14ac:dyDescent="0.45">
      <c r="B9" s="14" t="s">
        <v>11</v>
      </c>
      <c r="C9" s="15">
        <v>5</v>
      </c>
      <c r="D9" s="15">
        <v>6</v>
      </c>
      <c r="E9" s="15">
        <v>11</v>
      </c>
      <c r="F9" s="15">
        <v>8</v>
      </c>
      <c r="G9" s="16">
        <v>4</v>
      </c>
    </row>
    <row r="10" spans="2:7" x14ac:dyDescent="0.45">
      <c r="B10" s="17" t="s">
        <v>9</v>
      </c>
      <c r="C10" s="18">
        <v>6</v>
      </c>
      <c r="D10" s="18">
        <v>3</v>
      </c>
      <c r="E10" s="18">
        <v>18</v>
      </c>
      <c r="F10" s="18">
        <v>3</v>
      </c>
      <c r="G10" s="19">
        <v>5</v>
      </c>
    </row>
    <row r="11" spans="2:7" x14ac:dyDescent="0.45">
      <c r="B11" s="14" t="s">
        <v>16</v>
      </c>
      <c r="C11" s="15">
        <v>7</v>
      </c>
      <c r="D11" s="15">
        <v>5</v>
      </c>
      <c r="E11" s="15">
        <v>9</v>
      </c>
      <c r="F11" s="15">
        <v>6</v>
      </c>
      <c r="G11" s="16">
        <v>9</v>
      </c>
    </row>
    <row r="12" spans="2:7" x14ac:dyDescent="0.45">
      <c r="B12" s="17" t="s">
        <v>18</v>
      </c>
      <c r="C12" s="18">
        <v>8</v>
      </c>
      <c r="D12" s="18">
        <v>7</v>
      </c>
      <c r="E12" s="18">
        <v>5</v>
      </c>
      <c r="F12" s="18">
        <v>13</v>
      </c>
      <c r="G12" s="19">
        <v>11</v>
      </c>
    </row>
    <row r="13" spans="2:7" x14ac:dyDescent="0.45">
      <c r="B13" s="14" t="s">
        <v>14</v>
      </c>
      <c r="C13" s="15">
        <v>9</v>
      </c>
      <c r="D13" s="15">
        <v>2</v>
      </c>
      <c r="E13" s="15">
        <v>15</v>
      </c>
      <c r="F13" s="15">
        <v>17</v>
      </c>
      <c r="G13" s="16">
        <v>8</v>
      </c>
    </row>
    <row r="14" spans="2:7" x14ac:dyDescent="0.45">
      <c r="B14" s="17" t="s">
        <v>282</v>
      </c>
      <c r="C14" s="18">
        <v>10</v>
      </c>
      <c r="D14" s="18">
        <v>10</v>
      </c>
      <c r="E14" s="18">
        <v>2</v>
      </c>
      <c r="F14" s="18">
        <v>20</v>
      </c>
      <c r="G14" s="19">
        <v>22</v>
      </c>
    </row>
    <row r="15" spans="2:7" x14ac:dyDescent="0.45">
      <c r="B15" s="14" t="s">
        <v>52</v>
      </c>
      <c r="C15" s="15">
        <v>11</v>
      </c>
      <c r="D15" s="15">
        <v>16</v>
      </c>
      <c r="E15" s="15">
        <v>8</v>
      </c>
      <c r="F15" s="15">
        <v>24</v>
      </c>
      <c r="G15" s="16">
        <v>15</v>
      </c>
    </row>
    <row r="16" spans="2:7" x14ac:dyDescent="0.45">
      <c r="B16" s="17" t="s">
        <v>35</v>
      </c>
      <c r="C16" s="18">
        <v>12</v>
      </c>
      <c r="D16" s="18">
        <v>11</v>
      </c>
      <c r="E16" s="18">
        <v>12</v>
      </c>
      <c r="F16" s="18">
        <v>18</v>
      </c>
      <c r="G16" s="19">
        <v>19</v>
      </c>
    </row>
    <row r="17" spans="2:7" x14ac:dyDescent="0.45">
      <c r="B17" s="14" t="s">
        <v>57</v>
      </c>
      <c r="C17" s="15">
        <v>13</v>
      </c>
      <c r="D17" s="15">
        <v>32</v>
      </c>
      <c r="E17" s="15">
        <v>7</v>
      </c>
      <c r="F17" s="15">
        <v>5</v>
      </c>
      <c r="G17" s="16">
        <v>17</v>
      </c>
    </row>
    <row r="18" spans="2:7" x14ac:dyDescent="0.45">
      <c r="B18" s="17" t="s">
        <v>17</v>
      </c>
      <c r="C18" s="18">
        <v>14</v>
      </c>
      <c r="D18" s="18">
        <v>18</v>
      </c>
      <c r="E18" s="18">
        <v>23</v>
      </c>
      <c r="F18" s="18">
        <v>2</v>
      </c>
      <c r="G18" s="19">
        <v>12</v>
      </c>
    </row>
    <row r="19" spans="2:7" x14ac:dyDescent="0.45">
      <c r="B19" s="14" t="s">
        <v>55</v>
      </c>
      <c r="C19" s="15">
        <v>15</v>
      </c>
      <c r="D19" s="15">
        <v>24</v>
      </c>
      <c r="E19" s="15">
        <v>30</v>
      </c>
      <c r="F19" s="15">
        <v>14</v>
      </c>
      <c r="G19" s="16">
        <v>2</v>
      </c>
    </row>
    <row r="20" spans="2:7" x14ac:dyDescent="0.45">
      <c r="B20" s="17" t="s">
        <v>58</v>
      </c>
      <c r="C20" s="18">
        <v>16</v>
      </c>
      <c r="D20" s="18">
        <v>31</v>
      </c>
      <c r="E20" s="18">
        <v>3</v>
      </c>
      <c r="F20" s="18">
        <v>38</v>
      </c>
      <c r="G20" s="19">
        <v>6</v>
      </c>
    </row>
    <row r="21" spans="2:7" x14ac:dyDescent="0.45">
      <c r="B21" s="14" t="s">
        <v>30</v>
      </c>
      <c r="C21" s="15">
        <v>17</v>
      </c>
      <c r="D21" s="15">
        <v>19</v>
      </c>
      <c r="E21" s="15">
        <v>14</v>
      </c>
      <c r="F21" s="15">
        <v>10</v>
      </c>
      <c r="G21" s="16">
        <v>18</v>
      </c>
    </row>
    <row r="22" spans="2:7" x14ac:dyDescent="0.45">
      <c r="B22" s="17" t="s">
        <v>53</v>
      </c>
      <c r="C22" s="18">
        <v>18</v>
      </c>
      <c r="D22" s="18">
        <v>14</v>
      </c>
      <c r="E22" s="18">
        <v>35</v>
      </c>
      <c r="F22" s="18">
        <v>7</v>
      </c>
      <c r="G22" s="19">
        <v>10</v>
      </c>
    </row>
    <row r="23" spans="2:7" x14ac:dyDescent="0.45">
      <c r="B23" s="14" t="s">
        <v>50</v>
      </c>
      <c r="C23" s="15">
        <v>19</v>
      </c>
      <c r="D23" s="15">
        <v>15</v>
      </c>
      <c r="E23" s="15">
        <v>16</v>
      </c>
      <c r="F23" s="15">
        <v>21</v>
      </c>
      <c r="G23" s="16">
        <v>21</v>
      </c>
    </row>
    <row r="24" spans="2:7" x14ac:dyDescent="0.45">
      <c r="B24" s="17" t="s">
        <v>54</v>
      </c>
      <c r="C24" s="18">
        <v>20</v>
      </c>
      <c r="D24" s="18">
        <v>21</v>
      </c>
      <c r="E24" s="18">
        <v>20</v>
      </c>
      <c r="F24" s="18">
        <v>23</v>
      </c>
      <c r="G24" s="19">
        <v>14</v>
      </c>
    </row>
    <row r="25" spans="2:7" x14ac:dyDescent="0.45">
      <c r="B25" s="14" t="s">
        <v>51</v>
      </c>
      <c r="C25" s="15">
        <v>21</v>
      </c>
      <c r="D25" s="15">
        <v>20</v>
      </c>
      <c r="E25" s="15">
        <v>29</v>
      </c>
      <c r="F25" s="15">
        <v>19</v>
      </c>
      <c r="G25" s="16">
        <v>13</v>
      </c>
    </row>
    <row r="26" spans="2:7" x14ac:dyDescent="0.45">
      <c r="B26" s="17" t="s">
        <v>60</v>
      </c>
      <c r="C26" s="18">
        <v>22</v>
      </c>
      <c r="D26" s="18">
        <v>22</v>
      </c>
      <c r="E26" s="18">
        <v>13</v>
      </c>
      <c r="F26" s="18">
        <v>12</v>
      </c>
      <c r="G26" s="19">
        <v>41</v>
      </c>
    </row>
    <row r="27" spans="2:7" x14ac:dyDescent="0.45">
      <c r="B27" s="14" t="s">
        <v>56</v>
      </c>
      <c r="C27" s="15">
        <v>23</v>
      </c>
      <c r="D27" s="15">
        <v>28</v>
      </c>
      <c r="E27" s="15">
        <v>31</v>
      </c>
      <c r="F27" s="15">
        <v>11</v>
      </c>
      <c r="G27" s="16">
        <v>20</v>
      </c>
    </row>
    <row r="28" spans="2:7" x14ac:dyDescent="0.45">
      <c r="B28" s="17" t="s">
        <v>41</v>
      </c>
      <c r="C28" s="18">
        <v>24</v>
      </c>
      <c r="D28" s="18">
        <v>12</v>
      </c>
      <c r="E28" s="18">
        <v>6</v>
      </c>
      <c r="F28" s="18">
        <v>50</v>
      </c>
      <c r="G28" s="19">
        <v>30</v>
      </c>
    </row>
    <row r="29" spans="2:7" x14ac:dyDescent="0.45">
      <c r="B29" s="14" t="s">
        <v>59</v>
      </c>
      <c r="C29" s="15">
        <v>25</v>
      </c>
      <c r="D29" s="15">
        <v>23</v>
      </c>
      <c r="E29" s="15">
        <v>21</v>
      </c>
      <c r="F29" s="15">
        <v>22</v>
      </c>
      <c r="G29" s="16">
        <v>25</v>
      </c>
    </row>
    <row r="30" spans="2:7" x14ac:dyDescent="0.45">
      <c r="B30" s="17" t="s">
        <v>26</v>
      </c>
      <c r="C30" s="18">
        <v>26</v>
      </c>
      <c r="D30" s="18">
        <v>17</v>
      </c>
      <c r="E30" s="18">
        <v>19</v>
      </c>
      <c r="F30" s="18">
        <v>42</v>
      </c>
      <c r="G30" s="19">
        <v>34</v>
      </c>
    </row>
    <row r="31" spans="2:7" x14ac:dyDescent="0.45">
      <c r="B31" s="14" t="s">
        <v>64</v>
      </c>
      <c r="C31" s="15">
        <v>27</v>
      </c>
      <c r="D31" s="15">
        <v>37</v>
      </c>
      <c r="E31" s="15">
        <v>28</v>
      </c>
      <c r="F31" s="15">
        <v>16</v>
      </c>
      <c r="G31" s="16">
        <v>38</v>
      </c>
    </row>
    <row r="32" spans="2:7" x14ac:dyDescent="0.45">
      <c r="B32" s="17" t="s">
        <v>63</v>
      </c>
      <c r="C32" s="18">
        <v>28</v>
      </c>
      <c r="D32" s="18">
        <v>30</v>
      </c>
      <c r="E32" s="18">
        <v>24</v>
      </c>
      <c r="F32" s="18">
        <v>28</v>
      </c>
      <c r="G32" s="19">
        <v>35</v>
      </c>
    </row>
    <row r="33" spans="2:7" x14ac:dyDescent="0.45">
      <c r="B33" s="14" t="s">
        <v>311</v>
      </c>
      <c r="C33" s="15">
        <v>29</v>
      </c>
      <c r="D33" s="15">
        <v>29</v>
      </c>
      <c r="E33" s="15">
        <v>42</v>
      </c>
      <c r="F33" s="15">
        <v>25</v>
      </c>
      <c r="G33" s="16">
        <v>24</v>
      </c>
    </row>
    <row r="34" spans="2:7" x14ac:dyDescent="0.45">
      <c r="B34" s="17" t="s">
        <v>315</v>
      </c>
      <c r="C34" s="18">
        <v>30</v>
      </c>
      <c r="D34" s="18">
        <v>13</v>
      </c>
      <c r="E34" s="18">
        <v>36</v>
      </c>
      <c r="F34" s="18">
        <v>36</v>
      </c>
      <c r="G34" s="19">
        <v>36</v>
      </c>
    </row>
    <row r="35" spans="2:7" x14ac:dyDescent="0.45">
      <c r="B35" s="14" t="s">
        <v>62</v>
      </c>
      <c r="C35" s="15">
        <v>31</v>
      </c>
      <c r="D35" s="15">
        <v>39</v>
      </c>
      <c r="E35" s="15">
        <v>22</v>
      </c>
      <c r="F35" s="15">
        <v>33</v>
      </c>
      <c r="G35" s="16">
        <v>27</v>
      </c>
    </row>
    <row r="36" spans="2:7" x14ac:dyDescent="0.45">
      <c r="B36" s="17" t="s">
        <v>65</v>
      </c>
      <c r="C36" s="18">
        <v>32</v>
      </c>
      <c r="D36" s="18">
        <v>25</v>
      </c>
      <c r="E36" s="18">
        <v>45</v>
      </c>
      <c r="F36" s="18">
        <v>29</v>
      </c>
      <c r="G36" s="19">
        <v>26</v>
      </c>
    </row>
    <row r="37" spans="2:7" x14ac:dyDescent="0.45">
      <c r="B37" s="14" t="s">
        <v>61</v>
      </c>
      <c r="C37" s="15">
        <v>33</v>
      </c>
      <c r="D37" s="15">
        <v>34</v>
      </c>
      <c r="E37" s="15">
        <v>49</v>
      </c>
      <c r="F37" s="15">
        <v>27</v>
      </c>
      <c r="G37" s="16">
        <v>23</v>
      </c>
    </row>
    <row r="38" spans="2:7" x14ac:dyDescent="0.45">
      <c r="B38" s="17" t="s">
        <v>27</v>
      </c>
      <c r="C38" s="18">
        <v>34</v>
      </c>
      <c r="D38" s="18">
        <v>27</v>
      </c>
      <c r="E38" s="18">
        <v>27</v>
      </c>
      <c r="F38" s="18">
        <v>31</v>
      </c>
      <c r="G38" s="19">
        <v>55</v>
      </c>
    </row>
    <row r="39" spans="2:7" x14ac:dyDescent="0.45">
      <c r="B39" s="14" t="s">
        <v>66</v>
      </c>
      <c r="C39" s="15">
        <v>35</v>
      </c>
      <c r="D39" s="15">
        <v>41</v>
      </c>
      <c r="E39" s="15">
        <v>40</v>
      </c>
      <c r="F39" s="15">
        <v>34</v>
      </c>
      <c r="G39" s="16">
        <v>29</v>
      </c>
    </row>
    <row r="40" spans="2:7" x14ac:dyDescent="0.45">
      <c r="B40" s="17" t="s">
        <v>77</v>
      </c>
      <c r="C40" s="18">
        <v>36</v>
      </c>
      <c r="D40" s="18">
        <v>55</v>
      </c>
      <c r="E40" s="18">
        <v>26</v>
      </c>
      <c r="F40" s="18">
        <v>30</v>
      </c>
      <c r="G40" s="19">
        <v>47</v>
      </c>
    </row>
    <row r="41" spans="2:7" x14ac:dyDescent="0.45">
      <c r="B41" s="14" t="s">
        <v>68</v>
      </c>
      <c r="C41" s="15">
        <v>37</v>
      </c>
      <c r="D41" s="15">
        <v>50</v>
      </c>
      <c r="E41" s="15">
        <v>38</v>
      </c>
      <c r="F41" s="15">
        <v>26</v>
      </c>
      <c r="G41" s="16">
        <v>40</v>
      </c>
    </row>
    <row r="42" spans="2:7" x14ac:dyDescent="0.45">
      <c r="B42" s="17" t="s">
        <v>42</v>
      </c>
      <c r="C42" s="18">
        <v>38</v>
      </c>
      <c r="D42" s="18">
        <v>38</v>
      </c>
      <c r="E42" s="18">
        <v>25</v>
      </c>
      <c r="F42" s="18">
        <v>44</v>
      </c>
      <c r="G42" s="19">
        <v>50</v>
      </c>
    </row>
    <row r="43" spans="2:7" x14ac:dyDescent="0.45">
      <c r="B43" s="14" t="s">
        <v>70</v>
      </c>
      <c r="C43" s="15">
        <v>39</v>
      </c>
      <c r="D43" s="15">
        <v>42</v>
      </c>
      <c r="E43" s="15">
        <v>68</v>
      </c>
      <c r="F43" s="15">
        <v>37</v>
      </c>
      <c r="G43" s="16">
        <v>37</v>
      </c>
    </row>
    <row r="44" spans="2:7" x14ac:dyDescent="0.45">
      <c r="B44" s="17" t="s">
        <v>137</v>
      </c>
      <c r="C44" s="18">
        <v>40</v>
      </c>
      <c r="D44" s="18">
        <v>35</v>
      </c>
      <c r="E44" s="18">
        <v>41</v>
      </c>
      <c r="F44" s="18">
        <v>60</v>
      </c>
      <c r="G44" s="19">
        <v>33</v>
      </c>
    </row>
    <row r="45" spans="2:7" x14ac:dyDescent="0.45">
      <c r="B45" s="14" t="s">
        <v>69</v>
      </c>
      <c r="C45" s="15">
        <v>41</v>
      </c>
      <c r="D45" s="15">
        <v>45</v>
      </c>
      <c r="E45" s="15">
        <v>60</v>
      </c>
      <c r="F45" s="15">
        <v>40</v>
      </c>
      <c r="G45" s="16">
        <v>46</v>
      </c>
    </row>
    <row r="46" spans="2:7" x14ac:dyDescent="0.45">
      <c r="B46" s="17" t="s">
        <v>81</v>
      </c>
      <c r="C46" s="18">
        <v>42</v>
      </c>
      <c r="D46" s="18">
        <v>67</v>
      </c>
      <c r="E46" s="18">
        <v>54</v>
      </c>
      <c r="F46" s="18">
        <v>49</v>
      </c>
      <c r="G46" s="19">
        <v>28</v>
      </c>
    </row>
    <row r="47" spans="2:7" x14ac:dyDescent="0.45">
      <c r="B47" s="14" t="s">
        <v>67</v>
      </c>
      <c r="C47" s="15">
        <v>43</v>
      </c>
      <c r="D47" s="15">
        <v>49</v>
      </c>
      <c r="E47" s="15">
        <v>69</v>
      </c>
      <c r="F47" s="15">
        <v>32</v>
      </c>
      <c r="G47" s="16">
        <v>52</v>
      </c>
    </row>
    <row r="48" spans="2:7" x14ac:dyDescent="0.45">
      <c r="B48" s="17" t="s">
        <v>79</v>
      </c>
      <c r="C48" s="18">
        <v>44</v>
      </c>
      <c r="D48" s="18">
        <v>46</v>
      </c>
      <c r="E48" s="18">
        <v>46</v>
      </c>
      <c r="F48" s="18">
        <v>46</v>
      </c>
      <c r="G48" s="19">
        <v>58</v>
      </c>
    </row>
    <row r="49" spans="2:7" x14ac:dyDescent="0.45">
      <c r="B49" s="14" t="s">
        <v>44</v>
      </c>
      <c r="C49" s="15">
        <v>45</v>
      </c>
      <c r="D49" s="15">
        <v>33</v>
      </c>
      <c r="E49" s="15">
        <v>34</v>
      </c>
      <c r="F49" s="15">
        <v>73</v>
      </c>
      <c r="G49" s="16">
        <v>42</v>
      </c>
    </row>
    <row r="50" spans="2:7" x14ac:dyDescent="0.45">
      <c r="B50" s="17" t="s">
        <v>32</v>
      </c>
      <c r="C50" s="18">
        <v>46</v>
      </c>
      <c r="D50" s="18">
        <v>59</v>
      </c>
      <c r="E50" s="18">
        <v>43</v>
      </c>
      <c r="F50" s="18">
        <v>45</v>
      </c>
      <c r="G50" s="19">
        <v>49</v>
      </c>
    </row>
    <row r="51" spans="2:7" x14ac:dyDescent="0.45">
      <c r="B51" s="14" t="s">
        <v>82</v>
      </c>
      <c r="C51" s="15">
        <v>47</v>
      </c>
      <c r="D51" s="15">
        <v>78</v>
      </c>
      <c r="E51" s="15">
        <v>55</v>
      </c>
      <c r="F51" s="15">
        <v>47</v>
      </c>
      <c r="G51" s="16">
        <v>31</v>
      </c>
    </row>
    <row r="52" spans="2:7" x14ac:dyDescent="0.45">
      <c r="B52" s="17" t="s">
        <v>75</v>
      </c>
      <c r="C52" s="18">
        <v>48</v>
      </c>
      <c r="D52" s="18">
        <v>57</v>
      </c>
      <c r="E52" s="18">
        <v>53</v>
      </c>
      <c r="F52" s="18">
        <v>53</v>
      </c>
      <c r="G52" s="19">
        <v>39</v>
      </c>
    </row>
    <row r="53" spans="2:7" x14ac:dyDescent="0.45">
      <c r="B53" s="14" t="s">
        <v>89</v>
      </c>
      <c r="C53" s="15">
        <v>49</v>
      </c>
      <c r="D53" s="15">
        <v>26</v>
      </c>
      <c r="E53" s="15">
        <v>37</v>
      </c>
      <c r="F53" s="15">
        <v>70</v>
      </c>
      <c r="G53" s="16">
        <v>71</v>
      </c>
    </row>
    <row r="54" spans="2:7" x14ac:dyDescent="0.45">
      <c r="B54" s="17" t="s">
        <v>28</v>
      </c>
      <c r="C54" s="18">
        <v>50</v>
      </c>
      <c r="D54" s="18">
        <v>36</v>
      </c>
      <c r="E54" s="18">
        <v>47</v>
      </c>
      <c r="F54" s="18">
        <v>56</v>
      </c>
      <c r="G54" s="19">
        <v>67</v>
      </c>
    </row>
    <row r="55" spans="2:7" x14ac:dyDescent="0.45">
      <c r="B55" s="14" t="s">
        <v>78</v>
      </c>
      <c r="C55" s="15">
        <v>51</v>
      </c>
      <c r="D55" s="15">
        <v>53</v>
      </c>
      <c r="E55" s="15">
        <v>52</v>
      </c>
      <c r="F55" s="15">
        <v>41</v>
      </c>
      <c r="G55" s="16">
        <v>63</v>
      </c>
    </row>
    <row r="56" spans="2:7" x14ac:dyDescent="0.45">
      <c r="B56" s="17" t="s">
        <v>73</v>
      </c>
      <c r="C56" s="18">
        <v>52</v>
      </c>
      <c r="D56" s="18">
        <v>61</v>
      </c>
      <c r="E56" s="18">
        <v>71</v>
      </c>
      <c r="F56" s="18">
        <v>52</v>
      </c>
      <c r="G56" s="19">
        <v>32</v>
      </c>
    </row>
    <row r="57" spans="2:7" x14ac:dyDescent="0.45">
      <c r="B57" s="14" t="s">
        <v>71</v>
      </c>
      <c r="C57" s="15">
        <v>53</v>
      </c>
      <c r="D57" s="15">
        <v>71</v>
      </c>
      <c r="E57" s="15">
        <v>63</v>
      </c>
      <c r="F57" s="15">
        <v>35</v>
      </c>
      <c r="G57" s="16">
        <v>61</v>
      </c>
    </row>
    <row r="58" spans="2:7" x14ac:dyDescent="0.45">
      <c r="B58" s="17" t="s">
        <v>72</v>
      </c>
      <c r="C58" s="18">
        <v>54</v>
      </c>
      <c r="D58" s="18">
        <v>52</v>
      </c>
      <c r="E58" s="18">
        <v>65</v>
      </c>
      <c r="F58" s="18">
        <v>39</v>
      </c>
      <c r="G58" s="19">
        <v>75</v>
      </c>
    </row>
    <row r="59" spans="2:7" x14ac:dyDescent="0.45">
      <c r="B59" s="14" t="s">
        <v>76</v>
      </c>
      <c r="C59" s="15">
        <v>55</v>
      </c>
      <c r="D59" s="15">
        <v>51</v>
      </c>
      <c r="E59" s="15">
        <v>51</v>
      </c>
      <c r="F59" s="15">
        <v>48</v>
      </c>
      <c r="G59" s="16">
        <v>72</v>
      </c>
    </row>
    <row r="60" spans="2:7" x14ac:dyDescent="0.45">
      <c r="B60" s="17" t="s">
        <v>136</v>
      </c>
      <c r="C60" s="18">
        <v>56</v>
      </c>
      <c r="D60" s="18">
        <v>62</v>
      </c>
      <c r="E60" s="18">
        <v>32</v>
      </c>
      <c r="F60" s="18">
        <v>63</v>
      </c>
      <c r="G60" s="19">
        <v>79</v>
      </c>
    </row>
    <row r="61" spans="2:7" x14ac:dyDescent="0.45">
      <c r="B61" s="14" t="s">
        <v>36</v>
      </c>
      <c r="C61" s="15">
        <v>57</v>
      </c>
      <c r="D61" s="15">
        <v>60</v>
      </c>
      <c r="E61" s="15">
        <v>73</v>
      </c>
      <c r="F61" s="15">
        <v>43</v>
      </c>
      <c r="G61" s="16">
        <v>59</v>
      </c>
    </row>
    <row r="62" spans="2:7" x14ac:dyDescent="0.45">
      <c r="B62" s="17" t="s">
        <v>23</v>
      </c>
      <c r="C62" s="18">
        <v>58</v>
      </c>
      <c r="D62" s="18">
        <v>76</v>
      </c>
      <c r="E62" s="18">
        <v>48</v>
      </c>
      <c r="F62" s="18">
        <v>59</v>
      </c>
      <c r="G62" s="19">
        <v>45</v>
      </c>
    </row>
    <row r="63" spans="2:7" x14ac:dyDescent="0.45">
      <c r="B63" s="14" t="s">
        <v>74</v>
      </c>
      <c r="C63" s="15">
        <v>59</v>
      </c>
      <c r="D63" s="15">
        <v>65</v>
      </c>
      <c r="E63" s="15">
        <v>61</v>
      </c>
      <c r="F63" s="15">
        <v>51</v>
      </c>
      <c r="G63" s="16">
        <v>60</v>
      </c>
    </row>
    <row r="64" spans="2:7" x14ac:dyDescent="0.45">
      <c r="B64" s="17" t="s">
        <v>337</v>
      </c>
      <c r="C64" s="18">
        <v>60</v>
      </c>
      <c r="D64" s="18">
        <v>40</v>
      </c>
      <c r="E64" s="18">
        <v>50</v>
      </c>
      <c r="F64" s="18">
        <v>58</v>
      </c>
      <c r="G64" s="19">
        <v>94</v>
      </c>
    </row>
    <row r="65" spans="2:7" x14ac:dyDescent="0.45">
      <c r="B65" s="14" t="s">
        <v>90</v>
      </c>
      <c r="C65" s="15">
        <v>61</v>
      </c>
      <c r="D65" s="15">
        <v>64</v>
      </c>
      <c r="E65" s="15">
        <v>57</v>
      </c>
      <c r="F65" s="15">
        <v>54</v>
      </c>
      <c r="G65" s="16">
        <v>74</v>
      </c>
    </row>
    <row r="66" spans="2:7" x14ac:dyDescent="0.45">
      <c r="B66" s="17" t="s">
        <v>33</v>
      </c>
      <c r="C66" s="18">
        <v>62</v>
      </c>
      <c r="D66" s="18">
        <v>58</v>
      </c>
      <c r="E66" s="18">
        <v>74</v>
      </c>
      <c r="F66" s="18">
        <v>62</v>
      </c>
      <c r="G66" s="19">
        <v>43</v>
      </c>
    </row>
    <row r="67" spans="2:7" x14ac:dyDescent="0.45">
      <c r="B67" s="14" t="s">
        <v>88</v>
      </c>
      <c r="C67" s="15">
        <v>63</v>
      </c>
      <c r="D67" s="15">
        <v>63</v>
      </c>
      <c r="E67" s="15">
        <v>39</v>
      </c>
      <c r="F67" s="15">
        <v>78</v>
      </c>
      <c r="G67" s="16">
        <v>68</v>
      </c>
    </row>
    <row r="68" spans="2:7" x14ac:dyDescent="0.45">
      <c r="B68" s="17" t="s">
        <v>86</v>
      </c>
      <c r="C68" s="18">
        <v>64</v>
      </c>
      <c r="D68" s="18">
        <v>56</v>
      </c>
      <c r="E68" s="18">
        <v>75</v>
      </c>
      <c r="F68" s="18">
        <v>65</v>
      </c>
      <c r="G68" s="19">
        <v>69</v>
      </c>
    </row>
    <row r="69" spans="2:7" x14ac:dyDescent="0.45">
      <c r="B69" s="14" t="s">
        <v>85</v>
      </c>
      <c r="C69" s="15">
        <v>65</v>
      </c>
      <c r="D69" s="15">
        <v>81</v>
      </c>
      <c r="E69" s="15">
        <v>66</v>
      </c>
      <c r="F69" s="15">
        <v>61</v>
      </c>
      <c r="G69" s="16">
        <v>56</v>
      </c>
    </row>
    <row r="70" spans="2:7" x14ac:dyDescent="0.45">
      <c r="B70" s="17" t="s">
        <v>100</v>
      </c>
      <c r="C70" s="18">
        <v>66</v>
      </c>
      <c r="D70" s="18">
        <v>74</v>
      </c>
      <c r="E70" s="18">
        <v>33</v>
      </c>
      <c r="F70" s="18">
        <v>92</v>
      </c>
      <c r="G70" s="19">
        <v>53</v>
      </c>
    </row>
    <row r="71" spans="2:7" x14ac:dyDescent="0.45">
      <c r="B71" s="14" t="s">
        <v>84</v>
      </c>
      <c r="C71" s="15">
        <v>67</v>
      </c>
      <c r="D71" s="15">
        <v>77</v>
      </c>
      <c r="E71" s="15">
        <v>58</v>
      </c>
      <c r="F71" s="15">
        <v>81</v>
      </c>
      <c r="G71" s="16">
        <v>48</v>
      </c>
    </row>
    <row r="72" spans="2:7" x14ac:dyDescent="0.45">
      <c r="B72" s="17" t="s">
        <v>83</v>
      </c>
      <c r="C72" s="18">
        <v>68</v>
      </c>
      <c r="D72" s="18">
        <v>73</v>
      </c>
      <c r="E72" s="18">
        <v>78</v>
      </c>
      <c r="F72" s="18">
        <v>69</v>
      </c>
      <c r="G72" s="19">
        <v>51</v>
      </c>
    </row>
    <row r="73" spans="2:7" x14ac:dyDescent="0.45">
      <c r="B73" s="14" t="s">
        <v>22</v>
      </c>
      <c r="C73" s="15">
        <v>69</v>
      </c>
      <c r="D73" s="15">
        <v>66</v>
      </c>
      <c r="E73" s="15">
        <v>72</v>
      </c>
      <c r="F73" s="15">
        <v>55</v>
      </c>
      <c r="G73" s="16">
        <v>100</v>
      </c>
    </row>
    <row r="74" spans="2:7" x14ac:dyDescent="0.45">
      <c r="B74" s="17" t="s">
        <v>353</v>
      </c>
      <c r="C74" s="18">
        <v>70</v>
      </c>
      <c r="D74" s="18">
        <v>83</v>
      </c>
      <c r="E74" s="18">
        <v>79</v>
      </c>
      <c r="F74" s="18">
        <v>68</v>
      </c>
      <c r="G74" s="19">
        <v>57</v>
      </c>
    </row>
    <row r="75" spans="2:7" x14ac:dyDescent="0.45">
      <c r="B75" s="14" t="s">
        <v>91</v>
      </c>
      <c r="C75" s="15">
        <v>71</v>
      </c>
      <c r="D75" s="15">
        <v>54</v>
      </c>
      <c r="E75" s="15">
        <v>44</v>
      </c>
      <c r="F75" s="15">
        <v>80</v>
      </c>
      <c r="G75" s="16">
        <v>108</v>
      </c>
    </row>
    <row r="76" spans="2:7" x14ac:dyDescent="0.45">
      <c r="B76" s="17" t="s">
        <v>596</v>
      </c>
      <c r="C76" s="18">
        <v>72</v>
      </c>
      <c r="D76" s="18">
        <v>75</v>
      </c>
      <c r="E76" s="18">
        <v>77</v>
      </c>
      <c r="F76" s="18">
        <v>71</v>
      </c>
      <c r="G76" s="19">
        <v>82</v>
      </c>
    </row>
    <row r="77" spans="2:7" x14ac:dyDescent="0.45">
      <c r="B77" s="14" t="s">
        <v>98</v>
      </c>
      <c r="C77" s="15">
        <v>73</v>
      </c>
      <c r="D77" s="15">
        <v>47</v>
      </c>
      <c r="E77" s="15">
        <v>80</v>
      </c>
      <c r="F77" s="15">
        <v>75</v>
      </c>
      <c r="G77" s="16">
        <v>99</v>
      </c>
    </row>
    <row r="78" spans="2:7" x14ac:dyDescent="0.45">
      <c r="B78" s="17" t="s">
        <v>107</v>
      </c>
      <c r="C78" s="18">
        <v>74</v>
      </c>
      <c r="D78" s="18">
        <v>88</v>
      </c>
      <c r="E78" s="18">
        <v>62</v>
      </c>
      <c r="F78" s="18">
        <v>76</v>
      </c>
      <c r="G78" s="19">
        <v>70</v>
      </c>
    </row>
    <row r="79" spans="2:7" x14ac:dyDescent="0.45">
      <c r="B79" s="14" t="s">
        <v>95</v>
      </c>
      <c r="C79" s="15">
        <v>75</v>
      </c>
      <c r="D79" s="15">
        <v>72</v>
      </c>
      <c r="E79" s="15">
        <v>70</v>
      </c>
      <c r="F79" s="15">
        <v>93</v>
      </c>
      <c r="G79" s="16">
        <v>65</v>
      </c>
    </row>
    <row r="80" spans="2:7" x14ac:dyDescent="0.45">
      <c r="B80" s="17" t="s">
        <v>99</v>
      </c>
      <c r="C80" s="18">
        <v>76</v>
      </c>
      <c r="D80" s="18">
        <v>93</v>
      </c>
      <c r="E80" s="18">
        <v>67</v>
      </c>
      <c r="F80" s="18">
        <v>67</v>
      </c>
      <c r="G80" s="19">
        <v>80</v>
      </c>
    </row>
    <row r="81" spans="2:7" x14ac:dyDescent="0.45">
      <c r="B81" s="14" t="s">
        <v>101</v>
      </c>
      <c r="C81" s="15">
        <v>77</v>
      </c>
      <c r="D81" s="15">
        <v>70</v>
      </c>
      <c r="E81" s="15">
        <v>90</v>
      </c>
      <c r="F81" s="15">
        <v>66</v>
      </c>
      <c r="G81" s="16">
        <v>92</v>
      </c>
    </row>
    <row r="82" spans="2:7" x14ac:dyDescent="0.45">
      <c r="B82" s="17" t="s">
        <v>80</v>
      </c>
      <c r="C82" s="18">
        <v>78</v>
      </c>
      <c r="D82" s="18">
        <v>69</v>
      </c>
      <c r="E82" s="18">
        <v>91</v>
      </c>
      <c r="F82" s="18">
        <v>82</v>
      </c>
      <c r="G82" s="19">
        <v>66</v>
      </c>
    </row>
    <row r="83" spans="2:7" x14ac:dyDescent="0.45">
      <c r="B83" s="14" t="s">
        <v>97</v>
      </c>
      <c r="C83" s="15">
        <v>79</v>
      </c>
      <c r="D83" s="15">
        <v>97</v>
      </c>
      <c r="E83" s="15">
        <v>59</v>
      </c>
      <c r="F83" s="15">
        <v>77</v>
      </c>
      <c r="G83" s="16">
        <v>73</v>
      </c>
    </row>
    <row r="84" spans="2:7" x14ac:dyDescent="0.45">
      <c r="B84" s="17" t="s">
        <v>92</v>
      </c>
      <c r="C84" s="18">
        <v>80</v>
      </c>
      <c r="D84" s="18">
        <v>91</v>
      </c>
      <c r="E84" s="18">
        <v>56</v>
      </c>
      <c r="F84" s="18">
        <v>86</v>
      </c>
      <c r="G84" s="19">
        <v>77</v>
      </c>
    </row>
    <row r="85" spans="2:7" x14ac:dyDescent="0.45">
      <c r="B85" s="14" t="s">
        <v>106</v>
      </c>
      <c r="C85" s="15">
        <v>81</v>
      </c>
      <c r="D85" s="15">
        <v>85</v>
      </c>
      <c r="E85" s="15">
        <v>85</v>
      </c>
      <c r="F85" s="15">
        <v>57</v>
      </c>
      <c r="G85" s="16">
        <v>102</v>
      </c>
    </row>
    <row r="86" spans="2:7" x14ac:dyDescent="0.45">
      <c r="B86" s="17" t="s">
        <v>110</v>
      </c>
      <c r="C86" s="18">
        <v>82</v>
      </c>
      <c r="D86" s="18">
        <v>43</v>
      </c>
      <c r="E86" s="18">
        <v>93</v>
      </c>
      <c r="F86" s="18">
        <v>94</v>
      </c>
      <c r="G86" s="19">
        <v>88</v>
      </c>
    </row>
    <row r="87" spans="2:7" x14ac:dyDescent="0.45">
      <c r="B87" s="14" t="s">
        <v>94</v>
      </c>
      <c r="C87" s="15">
        <v>83</v>
      </c>
      <c r="D87" s="15">
        <v>82</v>
      </c>
      <c r="E87" s="15">
        <v>86</v>
      </c>
      <c r="F87" s="15">
        <v>96</v>
      </c>
      <c r="G87" s="16">
        <v>64</v>
      </c>
    </row>
    <row r="88" spans="2:7" x14ac:dyDescent="0.45">
      <c r="B88" s="17" t="s">
        <v>374</v>
      </c>
      <c r="C88" s="18">
        <v>84</v>
      </c>
      <c r="D88" s="18">
        <v>44</v>
      </c>
      <c r="E88" s="18">
        <v>76</v>
      </c>
      <c r="F88" s="18">
        <v>79</v>
      </c>
      <c r="G88" s="19">
        <v>124</v>
      </c>
    </row>
    <row r="89" spans="2:7" x14ac:dyDescent="0.45">
      <c r="B89" s="14" t="s">
        <v>111</v>
      </c>
      <c r="C89" s="15">
        <v>85</v>
      </c>
      <c r="D89" s="15">
        <v>87</v>
      </c>
      <c r="E89" s="15">
        <v>82</v>
      </c>
      <c r="F89" s="15">
        <v>74</v>
      </c>
      <c r="G89" s="16">
        <v>101</v>
      </c>
    </row>
    <row r="90" spans="2:7" x14ac:dyDescent="0.45">
      <c r="B90" s="17" t="s">
        <v>105</v>
      </c>
      <c r="C90" s="18">
        <v>86</v>
      </c>
      <c r="D90" s="18">
        <v>99</v>
      </c>
      <c r="E90" s="18">
        <v>83</v>
      </c>
      <c r="F90" s="18">
        <v>83</v>
      </c>
      <c r="G90" s="19">
        <v>78</v>
      </c>
    </row>
    <row r="91" spans="2:7" x14ac:dyDescent="0.45">
      <c r="B91" s="14" t="s">
        <v>46</v>
      </c>
      <c r="C91" s="15">
        <v>87</v>
      </c>
      <c r="D91" s="15">
        <v>86</v>
      </c>
      <c r="E91" s="15">
        <v>92</v>
      </c>
      <c r="F91" s="15">
        <v>72</v>
      </c>
      <c r="G91" s="16">
        <v>97</v>
      </c>
    </row>
    <row r="92" spans="2:7" x14ac:dyDescent="0.45">
      <c r="B92" s="17" t="s">
        <v>24</v>
      </c>
      <c r="C92" s="18">
        <v>88</v>
      </c>
      <c r="D92" s="18">
        <v>79</v>
      </c>
      <c r="E92" s="18">
        <v>87</v>
      </c>
      <c r="F92" s="18">
        <v>98</v>
      </c>
      <c r="G92" s="19">
        <v>89</v>
      </c>
    </row>
    <row r="93" spans="2:7" x14ac:dyDescent="0.45">
      <c r="B93" s="14" t="s">
        <v>87</v>
      </c>
      <c r="C93" s="15">
        <v>89</v>
      </c>
      <c r="D93" s="15">
        <v>89</v>
      </c>
      <c r="E93" s="15">
        <v>110</v>
      </c>
      <c r="F93" s="15">
        <v>64</v>
      </c>
      <c r="G93" s="16">
        <v>90</v>
      </c>
    </row>
    <row r="94" spans="2:7" x14ac:dyDescent="0.45">
      <c r="B94" s="17" t="s">
        <v>109</v>
      </c>
      <c r="C94" s="18">
        <v>90</v>
      </c>
      <c r="D94" s="18">
        <v>98</v>
      </c>
      <c r="E94" s="18">
        <v>94</v>
      </c>
      <c r="F94" s="18">
        <v>90</v>
      </c>
      <c r="G94" s="19">
        <v>54</v>
      </c>
    </row>
    <row r="95" spans="2:7" x14ac:dyDescent="0.45">
      <c r="B95" s="14" t="s">
        <v>108</v>
      </c>
      <c r="C95" s="15">
        <v>91</v>
      </c>
      <c r="D95" s="15">
        <v>113</v>
      </c>
      <c r="E95" s="15">
        <v>64</v>
      </c>
      <c r="F95" s="15">
        <v>88</v>
      </c>
      <c r="G95" s="16">
        <v>83</v>
      </c>
    </row>
    <row r="96" spans="2:7" x14ac:dyDescent="0.45">
      <c r="B96" s="17" t="s">
        <v>103</v>
      </c>
      <c r="C96" s="18">
        <v>92</v>
      </c>
      <c r="D96" s="18">
        <v>105</v>
      </c>
      <c r="E96" s="18">
        <v>81</v>
      </c>
      <c r="F96" s="18">
        <v>89</v>
      </c>
      <c r="G96" s="19">
        <v>96</v>
      </c>
    </row>
    <row r="97" spans="2:7" x14ac:dyDescent="0.45">
      <c r="B97" s="14" t="s">
        <v>96</v>
      </c>
      <c r="C97" s="15">
        <v>93</v>
      </c>
      <c r="D97" s="15">
        <v>80</v>
      </c>
      <c r="E97" s="15">
        <v>102</v>
      </c>
      <c r="F97" s="15">
        <v>102</v>
      </c>
      <c r="G97" s="16">
        <v>87</v>
      </c>
    </row>
    <row r="98" spans="2:7" x14ac:dyDescent="0.45">
      <c r="B98" s="17" t="s">
        <v>93</v>
      </c>
      <c r="C98" s="18">
        <v>94</v>
      </c>
      <c r="D98" s="18">
        <v>92</v>
      </c>
      <c r="E98" s="18">
        <v>95</v>
      </c>
      <c r="F98" s="18">
        <v>97</v>
      </c>
      <c r="G98" s="19">
        <v>93</v>
      </c>
    </row>
    <row r="99" spans="2:7" x14ac:dyDescent="0.45">
      <c r="B99" s="14" t="s">
        <v>112</v>
      </c>
      <c r="C99" s="15">
        <v>95</v>
      </c>
      <c r="D99" s="15">
        <v>48</v>
      </c>
      <c r="E99" s="15">
        <v>101</v>
      </c>
      <c r="F99" s="15">
        <v>112</v>
      </c>
      <c r="G99" s="16">
        <v>104</v>
      </c>
    </row>
    <row r="100" spans="2:7" x14ac:dyDescent="0.45">
      <c r="B100" s="17" t="s">
        <v>104</v>
      </c>
      <c r="C100" s="18">
        <v>96</v>
      </c>
      <c r="D100" s="18">
        <v>68</v>
      </c>
      <c r="E100" s="18">
        <v>84</v>
      </c>
      <c r="F100" s="18">
        <v>105</v>
      </c>
      <c r="G100" s="19">
        <v>117</v>
      </c>
    </row>
    <row r="101" spans="2:7" x14ac:dyDescent="0.45">
      <c r="B101" s="14" t="s">
        <v>400</v>
      </c>
      <c r="C101" s="15">
        <v>97</v>
      </c>
      <c r="D101" s="15">
        <v>100</v>
      </c>
      <c r="E101" s="15">
        <v>96</v>
      </c>
      <c r="F101" s="15">
        <v>91</v>
      </c>
      <c r="G101" s="16">
        <v>103</v>
      </c>
    </row>
    <row r="102" spans="2:7" x14ac:dyDescent="0.45">
      <c r="B102" s="17" t="s">
        <v>114</v>
      </c>
      <c r="C102" s="18">
        <v>98</v>
      </c>
      <c r="D102" s="18">
        <v>90</v>
      </c>
      <c r="E102" s="18">
        <v>118</v>
      </c>
      <c r="F102" s="18">
        <v>84</v>
      </c>
      <c r="G102" s="19">
        <v>95</v>
      </c>
    </row>
    <row r="103" spans="2:7" x14ac:dyDescent="0.45">
      <c r="B103" s="14" t="s">
        <v>113</v>
      </c>
      <c r="C103" s="15">
        <v>99</v>
      </c>
      <c r="D103" s="15">
        <v>95</v>
      </c>
      <c r="E103" s="15">
        <v>89</v>
      </c>
      <c r="F103" s="15">
        <v>117</v>
      </c>
      <c r="G103" s="16">
        <v>62</v>
      </c>
    </row>
    <row r="104" spans="2:7" x14ac:dyDescent="0.45">
      <c r="B104" s="17" t="s">
        <v>390</v>
      </c>
      <c r="C104" s="18">
        <v>100</v>
      </c>
      <c r="D104" s="18">
        <v>94</v>
      </c>
      <c r="E104" s="18">
        <v>105</v>
      </c>
      <c r="F104" s="18">
        <v>103</v>
      </c>
      <c r="G104" s="19">
        <v>91</v>
      </c>
    </row>
    <row r="105" spans="2:7" x14ac:dyDescent="0.45">
      <c r="B105" s="14" t="s">
        <v>102</v>
      </c>
      <c r="C105" s="15">
        <v>101</v>
      </c>
      <c r="D105" s="15">
        <v>107</v>
      </c>
      <c r="E105" s="15">
        <v>107</v>
      </c>
      <c r="F105" s="15">
        <v>87</v>
      </c>
      <c r="G105" s="16">
        <v>109</v>
      </c>
    </row>
    <row r="106" spans="2:7" x14ac:dyDescent="0.45">
      <c r="B106" s="17" t="s">
        <v>119</v>
      </c>
      <c r="C106" s="18">
        <v>102</v>
      </c>
      <c r="D106" s="18">
        <v>106</v>
      </c>
      <c r="E106" s="18">
        <v>97</v>
      </c>
      <c r="F106" s="18">
        <v>110</v>
      </c>
      <c r="G106" s="19">
        <v>85</v>
      </c>
    </row>
    <row r="107" spans="2:7" x14ac:dyDescent="0.45">
      <c r="B107" s="14" t="s">
        <v>117</v>
      </c>
      <c r="C107" s="15">
        <v>103</v>
      </c>
      <c r="D107" s="15">
        <v>96</v>
      </c>
      <c r="E107" s="15">
        <v>114</v>
      </c>
      <c r="F107" s="15">
        <v>99</v>
      </c>
      <c r="G107" s="16">
        <v>107</v>
      </c>
    </row>
    <row r="108" spans="2:7" x14ac:dyDescent="0.45">
      <c r="B108" s="17" t="s">
        <v>385</v>
      </c>
      <c r="C108" s="18">
        <v>104</v>
      </c>
      <c r="D108" s="18">
        <v>102</v>
      </c>
      <c r="E108" s="18">
        <v>100</v>
      </c>
      <c r="F108" s="18">
        <v>116</v>
      </c>
      <c r="G108" s="19">
        <v>81</v>
      </c>
    </row>
    <row r="109" spans="2:7" x14ac:dyDescent="0.45">
      <c r="B109" s="14" t="s">
        <v>120</v>
      </c>
      <c r="C109" s="15">
        <v>105</v>
      </c>
      <c r="D109" s="15">
        <v>103</v>
      </c>
      <c r="E109" s="15">
        <v>104</v>
      </c>
      <c r="F109" s="15">
        <v>106</v>
      </c>
      <c r="G109" s="16">
        <v>98</v>
      </c>
    </row>
    <row r="110" spans="2:7" x14ac:dyDescent="0.45">
      <c r="B110" s="17" t="s">
        <v>388</v>
      </c>
      <c r="C110" s="18">
        <v>106</v>
      </c>
      <c r="D110" s="18">
        <v>110</v>
      </c>
      <c r="E110" s="18">
        <v>98</v>
      </c>
      <c r="F110" s="18">
        <v>118</v>
      </c>
      <c r="G110" s="19">
        <v>76</v>
      </c>
    </row>
    <row r="111" spans="2:7" x14ac:dyDescent="0.45">
      <c r="B111" s="14" t="s">
        <v>124</v>
      </c>
      <c r="C111" s="15">
        <v>107</v>
      </c>
      <c r="D111" s="15">
        <v>101</v>
      </c>
      <c r="E111" s="15">
        <v>112</v>
      </c>
      <c r="F111" s="15">
        <v>114</v>
      </c>
      <c r="G111" s="16">
        <v>86</v>
      </c>
    </row>
    <row r="112" spans="2:7" x14ac:dyDescent="0.45">
      <c r="B112" s="17" t="s">
        <v>118</v>
      </c>
      <c r="C112" s="18">
        <v>108</v>
      </c>
      <c r="D112" s="18">
        <v>112</v>
      </c>
      <c r="E112" s="18">
        <v>108</v>
      </c>
      <c r="F112" s="18">
        <v>109</v>
      </c>
      <c r="G112" s="19">
        <v>84</v>
      </c>
    </row>
    <row r="113" spans="2:7" x14ac:dyDescent="0.45">
      <c r="B113" s="14" t="s">
        <v>115</v>
      </c>
      <c r="C113" s="15">
        <v>109</v>
      </c>
      <c r="D113" s="15">
        <v>84</v>
      </c>
      <c r="E113" s="15">
        <v>99</v>
      </c>
      <c r="F113" s="15">
        <v>119</v>
      </c>
      <c r="G113" s="16">
        <v>110</v>
      </c>
    </row>
    <row r="114" spans="2:7" x14ac:dyDescent="0.45">
      <c r="B114" s="17" t="s">
        <v>403</v>
      </c>
      <c r="C114" s="18">
        <v>110</v>
      </c>
      <c r="D114" s="18">
        <v>115</v>
      </c>
      <c r="E114" s="18">
        <v>117</v>
      </c>
      <c r="F114" s="18">
        <v>85</v>
      </c>
      <c r="G114" s="19">
        <v>111</v>
      </c>
    </row>
    <row r="115" spans="2:7" x14ac:dyDescent="0.45">
      <c r="B115" s="14" t="s">
        <v>116</v>
      </c>
      <c r="C115" s="15">
        <v>111</v>
      </c>
      <c r="D115" s="15">
        <v>114</v>
      </c>
      <c r="E115" s="15">
        <v>109</v>
      </c>
      <c r="F115" s="15">
        <v>95</v>
      </c>
      <c r="G115" s="16">
        <v>118</v>
      </c>
    </row>
    <row r="116" spans="2:7" x14ac:dyDescent="0.45">
      <c r="B116" s="17" t="s">
        <v>125</v>
      </c>
      <c r="C116" s="18">
        <v>112</v>
      </c>
      <c r="D116" s="18">
        <v>111</v>
      </c>
      <c r="E116" s="18">
        <v>116</v>
      </c>
      <c r="F116" s="18">
        <v>101</v>
      </c>
      <c r="G116" s="19">
        <v>113</v>
      </c>
    </row>
    <row r="117" spans="2:7" x14ac:dyDescent="0.45">
      <c r="B117" s="14" t="s">
        <v>122</v>
      </c>
      <c r="C117" s="15">
        <v>113</v>
      </c>
      <c r="D117" s="15">
        <v>119</v>
      </c>
      <c r="E117" s="15">
        <v>88</v>
      </c>
      <c r="F117" s="15">
        <v>100</v>
      </c>
      <c r="G117" s="16">
        <v>119</v>
      </c>
    </row>
    <row r="118" spans="2:7" x14ac:dyDescent="0.45">
      <c r="B118" s="17" t="s">
        <v>121</v>
      </c>
      <c r="C118" s="18">
        <v>114</v>
      </c>
      <c r="D118" s="18">
        <v>109</v>
      </c>
      <c r="E118" s="18">
        <v>106</v>
      </c>
      <c r="F118" s="18">
        <v>108</v>
      </c>
      <c r="G118" s="19">
        <v>112</v>
      </c>
    </row>
    <row r="119" spans="2:7" x14ac:dyDescent="0.45">
      <c r="B119" s="14" t="s">
        <v>123</v>
      </c>
      <c r="C119" s="15">
        <v>115</v>
      </c>
      <c r="D119" s="15">
        <v>108</v>
      </c>
      <c r="E119" s="15">
        <v>113</v>
      </c>
      <c r="F119" s="15">
        <v>115</v>
      </c>
      <c r="G119" s="16">
        <v>116</v>
      </c>
    </row>
    <row r="120" spans="2:7" x14ac:dyDescent="0.45">
      <c r="B120" s="17" t="s">
        <v>128</v>
      </c>
      <c r="C120" s="18">
        <v>116</v>
      </c>
      <c r="D120" s="18">
        <v>122</v>
      </c>
      <c r="E120" s="18">
        <v>115</v>
      </c>
      <c r="F120" s="18">
        <v>104</v>
      </c>
      <c r="G120" s="19">
        <v>106</v>
      </c>
    </row>
    <row r="121" spans="2:7" x14ac:dyDescent="0.45">
      <c r="B121" s="14" t="s">
        <v>597</v>
      </c>
      <c r="C121" s="15">
        <v>117</v>
      </c>
      <c r="D121" s="15">
        <v>123</v>
      </c>
      <c r="E121" s="15">
        <v>111</v>
      </c>
      <c r="F121" s="15">
        <v>125</v>
      </c>
      <c r="G121" s="16">
        <v>44</v>
      </c>
    </row>
    <row r="122" spans="2:7" x14ac:dyDescent="0.45">
      <c r="B122" s="17" t="s">
        <v>130</v>
      </c>
      <c r="C122" s="18">
        <v>118</v>
      </c>
      <c r="D122" s="18">
        <v>116</v>
      </c>
      <c r="E122" s="18">
        <v>103</v>
      </c>
      <c r="F122" s="18">
        <v>111</v>
      </c>
      <c r="G122" s="19">
        <v>120</v>
      </c>
    </row>
    <row r="123" spans="2:7" x14ac:dyDescent="0.45">
      <c r="B123" s="14" t="s">
        <v>134</v>
      </c>
      <c r="C123" s="15">
        <v>119</v>
      </c>
      <c r="D123" s="15">
        <v>104</v>
      </c>
      <c r="E123" s="15">
        <v>121</v>
      </c>
      <c r="F123" s="15">
        <v>124</v>
      </c>
      <c r="G123" s="16">
        <v>115</v>
      </c>
    </row>
    <row r="124" spans="2:7" x14ac:dyDescent="0.45">
      <c r="B124" s="17" t="s">
        <v>127</v>
      </c>
      <c r="C124" s="18">
        <v>120</v>
      </c>
      <c r="D124" s="18">
        <v>121</v>
      </c>
      <c r="E124" s="18">
        <v>123</v>
      </c>
      <c r="F124" s="18">
        <v>120</v>
      </c>
      <c r="G124" s="19">
        <v>105</v>
      </c>
    </row>
    <row r="125" spans="2:7" x14ac:dyDescent="0.45">
      <c r="B125" s="14" t="s">
        <v>126</v>
      </c>
      <c r="C125" s="15">
        <v>121</v>
      </c>
      <c r="D125" s="15">
        <v>125</v>
      </c>
      <c r="E125" s="15">
        <v>127</v>
      </c>
      <c r="F125" s="15">
        <v>113</v>
      </c>
      <c r="G125" s="16">
        <v>114</v>
      </c>
    </row>
    <row r="126" spans="2:7" x14ac:dyDescent="0.45">
      <c r="B126" s="17" t="s">
        <v>132</v>
      </c>
      <c r="C126" s="18">
        <v>122</v>
      </c>
      <c r="D126" s="18">
        <v>118</v>
      </c>
      <c r="E126" s="18">
        <v>122</v>
      </c>
      <c r="F126" s="18">
        <v>121</v>
      </c>
      <c r="G126" s="19">
        <v>122</v>
      </c>
    </row>
    <row r="127" spans="2:7" x14ac:dyDescent="0.45">
      <c r="B127" s="14" t="s">
        <v>131</v>
      </c>
      <c r="C127" s="15">
        <v>123</v>
      </c>
      <c r="D127" s="15">
        <v>126</v>
      </c>
      <c r="E127" s="15">
        <v>119</v>
      </c>
      <c r="F127" s="15">
        <v>107</v>
      </c>
      <c r="G127" s="16">
        <v>126</v>
      </c>
    </row>
    <row r="128" spans="2:7" x14ac:dyDescent="0.45">
      <c r="B128" s="17" t="s">
        <v>129</v>
      </c>
      <c r="C128" s="18">
        <v>124</v>
      </c>
      <c r="D128" s="18">
        <v>124</v>
      </c>
      <c r="E128" s="18">
        <v>120</v>
      </c>
      <c r="F128" s="18">
        <v>122</v>
      </c>
      <c r="G128" s="19">
        <v>125</v>
      </c>
    </row>
    <row r="129" spans="2:7" x14ac:dyDescent="0.45">
      <c r="B129" s="14" t="s">
        <v>133</v>
      </c>
      <c r="C129" s="15">
        <v>125</v>
      </c>
      <c r="D129" s="15">
        <v>120</v>
      </c>
      <c r="E129" s="15">
        <v>124</v>
      </c>
      <c r="F129" s="15">
        <v>123</v>
      </c>
      <c r="G129" s="16">
        <v>121</v>
      </c>
    </row>
    <row r="130" spans="2:7" x14ac:dyDescent="0.45">
      <c r="B130" s="17" t="s">
        <v>598</v>
      </c>
      <c r="C130" s="18">
        <v>126</v>
      </c>
      <c r="D130" s="18">
        <v>117</v>
      </c>
      <c r="E130" s="18">
        <v>125</v>
      </c>
      <c r="F130" s="18">
        <v>126</v>
      </c>
      <c r="G130" s="19">
        <v>123</v>
      </c>
    </row>
    <row r="131" spans="2:7" ht="14.65" thickBot="1" x14ac:dyDescent="0.5">
      <c r="B131" s="14" t="s">
        <v>135</v>
      </c>
      <c r="C131" s="94">
        <v>127</v>
      </c>
      <c r="D131" s="94">
        <v>127</v>
      </c>
      <c r="E131" s="94">
        <v>126</v>
      </c>
      <c r="F131" s="94">
        <v>127</v>
      </c>
      <c r="G131" s="95">
        <v>127</v>
      </c>
    </row>
    <row r="132" spans="2:7" x14ac:dyDescent="0.45">
      <c r="B132" t="s">
        <v>887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B2:L36"/>
  <sheetViews>
    <sheetView workbookViewId="0">
      <selection activeCell="A4" sqref="A4"/>
    </sheetView>
  </sheetViews>
  <sheetFormatPr defaultRowHeight="14.25" x14ac:dyDescent="0.45"/>
  <cols>
    <col min="1" max="1" width="9" customWidth="1"/>
    <col min="3" max="3" width="31.59765625" bestFit="1" customWidth="1"/>
    <col min="4" max="4" width="2.73046875" bestFit="1" customWidth="1"/>
    <col min="5" max="5" width="5.86328125" bestFit="1" customWidth="1"/>
    <col min="6" max="6" width="19.3984375" bestFit="1" customWidth="1"/>
    <col min="7" max="7" width="2.73046875" bestFit="1" customWidth="1"/>
    <col min="8" max="8" width="5.86328125" bestFit="1" customWidth="1"/>
    <col min="9" max="9" width="31.265625" bestFit="1" customWidth="1"/>
    <col min="10" max="10" width="4.33203125" customWidth="1"/>
    <col min="11" max="11" width="5.86328125" bestFit="1" customWidth="1"/>
    <col min="12" max="12" width="31.59765625" bestFit="1" customWidth="1"/>
    <col min="13" max="13" width="3.73046875" bestFit="1" customWidth="1"/>
    <col min="14" max="14" width="5.86328125" bestFit="1" customWidth="1"/>
    <col min="15" max="15" width="18.265625" customWidth="1"/>
  </cols>
  <sheetData>
    <row r="2" spans="2:12" x14ac:dyDescent="0.45">
      <c r="B2" t="s">
        <v>265</v>
      </c>
    </row>
    <row r="3" spans="2:12" x14ac:dyDescent="0.45">
      <c r="B3" s="73" t="s">
        <v>263</v>
      </c>
      <c r="C3" s="74" t="s">
        <v>264</v>
      </c>
      <c r="E3" s="73" t="s">
        <v>263</v>
      </c>
      <c r="F3" s="74" t="s">
        <v>264</v>
      </c>
      <c r="H3" s="73" t="s">
        <v>263</v>
      </c>
      <c r="I3" s="74" t="s">
        <v>264</v>
      </c>
      <c r="K3" s="73" t="s">
        <v>263</v>
      </c>
      <c r="L3" s="74" t="s">
        <v>264</v>
      </c>
    </row>
    <row r="4" spans="2:12" x14ac:dyDescent="0.45">
      <c r="B4" s="76" t="s">
        <v>143</v>
      </c>
      <c r="C4" s="75" t="s">
        <v>281</v>
      </c>
      <c r="E4" s="76" t="s">
        <v>179</v>
      </c>
      <c r="F4" s="75" t="s">
        <v>27</v>
      </c>
      <c r="H4" s="76" t="s">
        <v>198</v>
      </c>
      <c r="I4" s="75" t="s">
        <v>84</v>
      </c>
      <c r="K4" s="76" t="s">
        <v>246</v>
      </c>
      <c r="L4" s="75" t="s">
        <v>390</v>
      </c>
    </row>
    <row r="5" spans="2:12" x14ac:dyDescent="0.45">
      <c r="B5" s="76" t="s">
        <v>144</v>
      </c>
      <c r="C5" s="75" t="s">
        <v>13</v>
      </c>
      <c r="E5" s="76" t="s">
        <v>172</v>
      </c>
      <c r="F5" s="75" t="s">
        <v>66</v>
      </c>
      <c r="H5" s="76" t="s">
        <v>197</v>
      </c>
      <c r="I5" s="75" t="s">
        <v>83</v>
      </c>
      <c r="K5" s="76" t="s">
        <v>224</v>
      </c>
      <c r="L5" s="75" t="s">
        <v>102</v>
      </c>
    </row>
    <row r="6" spans="2:12" x14ac:dyDescent="0.45">
      <c r="B6" s="76" t="s">
        <v>146</v>
      </c>
      <c r="C6" s="75" t="s">
        <v>15</v>
      </c>
      <c r="E6" s="76" t="s">
        <v>190</v>
      </c>
      <c r="F6" s="75" t="s">
        <v>77</v>
      </c>
      <c r="H6" s="76" t="s">
        <v>209</v>
      </c>
      <c r="I6" s="75" t="s">
        <v>22</v>
      </c>
      <c r="K6" s="76" t="s">
        <v>243</v>
      </c>
      <c r="L6" s="75" t="s">
        <v>119</v>
      </c>
    </row>
    <row r="7" spans="2:12" x14ac:dyDescent="0.45">
      <c r="B7" s="76" t="s">
        <v>142</v>
      </c>
      <c r="C7" s="75" t="s">
        <v>12</v>
      </c>
      <c r="E7" s="76" t="s">
        <v>175</v>
      </c>
      <c r="F7" s="75" t="s">
        <v>68</v>
      </c>
      <c r="H7" s="76" t="s">
        <v>208</v>
      </c>
      <c r="I7" s="75" t="s">
        <v>353</v>
      </c>
      <c r="K7" s="76" t="s">
        <v>241</v>
      </c>
      <c r="L7" s="75" t="s">
        <v>117</v>
      </c>
    </row>
    <row r="8" spans="2:12" x14ac:dyDescent="0.45">
      <c r="B8" s="76" t="s">
        <v>141</v>
      </c>
      <c r="C8" s="75" t="s">
        <v>11</v>
      </c>
      <c r="E8" s="76" t="s">
        <v>177</v>
      </c>
      <c r="F8" s="75" t="s">
        <v>42</v>
      </c>
      <c r="H8" s="76" t="s">
        <v>211</v>
      </c>
      <c r="I8" s="75" t="s">
        <v>91</v>
      </c>
      <c r="K8" s="76" t="s">
        <v>232</v>
      </c>
      <c r="L8" s="75" t="s">
        <v>385</v>
      </c>
    </row>
    <row r="9" spans="2:12" x14ac:dyDescent="0.45">
      <c r="B9" s="76" t="s">
        <v>140</v>
      </c>
      <c r="C9" s="75" t="s">
        <v>9</v>
      </c>
      <c r="E9" s="76" t="s">
        <v>178</v>
      </c>
      <c r="F9" s="75" t="s">
        <v>70</v>
      </c>
      <c r="H9" s="76" t="s">
        <v>603</v>
      </c>
      <c r="I9" s="75" t="s">
        <v>596</v>
      </c>
      <c r="K9" s="76" t="s">
        <v>244</v>
      </c>
      <c r="L9" s="75" t="s">
        <v>120</v>
      </c>
    </row>
    <row r="10" spans="2:12" x14ac:dyDescent="0.45">
      <c r="B10" s="76" t="s">
        <v>147</v>
      </c>
      <c r="C10" s="75" t="s">
        <v>16</v>
      </c>
      <c r="E10" s="76" t="s">
        <v>202</v>
      </c>
      <c r="F10" s="75" t="s">
        <v>137</v>
      </c>
      <c r="H10" s="76" t="s">
        <v>220</v>
      </c>
      <c r="I10" s="75" t="s">
        <v>98</v>
      </c>
      <c r="K10" s="76" t="s">
        <v>248</v>
      </c>
      <c r="L10" s="75" t="s">
        <v>388</v>
      </c>
    </row>
    <row r="11" spans="2:12" x14ac:dyDescent="0.45">
      <c r="B11" s="76" t="s">
        <v>149</v>
      </c>
      <c r="C11" s="75" t="s">
        <v>18</v>
      </c>
      <c r="E11" s="76" t="s">
        <v>176</v>
      </c>
      <c r="F11" s="75" t="s">
        <v>69</v>
      </c>
      <c r="H11" s="76" t="s">
        <v>229</v>
      </c>
      <c r="I11" s="75" t="s">
        <v>107</v>
      </c>
      <c r="K11" s="76" t="s">
        <v>251</v>
      </c>
      <c r="L11" s="75" t="s">
        <v>124</v>
      </c>
    </row>
    <row r="12" spans="2:12" x14ac:dyDescent="0.45">
      <c r="B12" s="76" t="s">
        <v>145</v>
      </c>
      <c r="C12" s="75" t="s">
        <v>14</v>
      </c>
      <c r="E12" s="76" t="s">
        <v>195</v>
      </c>
      <c r="F12" s="75" t="s">
        <v>81</v>
      </c>
      <c r="H12" s="76" t="s">
        <v>215</v>
      </c>
      <c r="I12" s="75" t="s">
        <v>95</v>
      </c>
      <c r="K12" s="76" t="s">
        <v>242</v>
      </c>
      <c r="L12" s="75" t="s">
        <v>118</v>
      </c>
    </row>
    <row r="13" spans="2:12" x14ac:dyDescent="0.45">
      <c r="B13" s="76" t="s">
        <v>151</v>
      </c>
      <c r="C13" s="75" t="s">
        <v>282</v>
      </c>
      <c r="E13" s="76" t="s">
        <v>174</v>
      </c>
      <c r="F13" s="75" t="s">
        <v>67</v>
      </c>
      <c r="H13" s="76" t="s">
        <v>221</v>
      </c>
      <c r="I13" s="75" t="s">
        <v>99</v>
      </c>
      <c r="K13" s="76" t="s">
        <v>238</v>
      </c>
      <c r="L13" s="75" t="s">
        <v>115</v>
      </c>
    </row>
    <row r="14" spans="2:12" x14ac:dyDescent="0.45">
      <c r="B14" s="76" t="s">
        <v>155</v>
      </c>
      <c r="C14" s="75" t="s">
        <v>52</v>
      </c>
      <c r="E14" s="76" t="s">
        <v>193</v>
      </c>
      <c r="F14" s="75" t="s">
        <v>79</v>
      </c>
      <c r="H14" s="76" t="s">
        <v>223</v>
      </c>
      <c r="I14" s="75" t="s">
        <v>101</v>
      </c>
      <c r="K14" s="76" t="s">
        <v>592</v>
      </c>
      <c r="L14" s="75" t="s">
        <v>403</v>
      </c>
    </row>
    <row r="15" spans="2:12" x14ac:dyDescent="0.45">
      <c r="B15" s="76" t="s">
        <v>150</v>
      </c>
      <c r="C15" s="75" t="s">
        <v>35</v>
      </c>
      <c r="E15" s="76" t="s">
        <v>206</v>
      </c>
      <c r="F15" s="75" t="s">
        <v>44</v>
      </c>
      <c r="H15" s="76" t="s">
        <v>194</v>
      </c>
      <c r="I15" s="75" t="s">
        <v>80</v>
      </c>
      <c r="K15" s="76" t="s">
        <v>240</v>
      </c>
      <c r="L15" s="75" t="s">
        <v>116</v>
      </c>
    </row>
    <row r="16" spans="2:12" x14ac:dyDescent="0.45">
      <c r="B16" s="76" t="s">
        <v>160</v>
      </c>
      <c r="C16" s="75" t="s">
        <v>57</v>
      </c>
      <c r="E16" s="76" t="s">
        <v>192</v>
      </c>
      <c r="F16" s="75" t="s">
        <v>32</v>
      </c>
      <c r="H16" s="76" t="s">
        <v>219</v>
      </c>
      <c r="I16" s="75" t="s">
        <v>97</v>
      </c>
      <c r="K16" s="76" t="s">
        <v>252</v>
      </c>
      <c r="L16" s="75" t="s">
        <v>125</v>
      </c>
    </row>
    <row r="17" spans="2:12" x14ac:dyDescent="0.45">
      <c r="B17" s="76" t="s">
        <v>148</v>
      </c>
      <c r="C17" s="75" t="s">
        <v>17</v>
      </c>
      <c r="E17" s="76" t="s">
        <v>196</v>
      </c>
      <c r="F17" s="75" t="s">
        <v>82</v>
      </c>
      <c r="H17" s="76" t="s">
        <v>212</v>
      </c>
      <c r="I17" s="75" t="s">
        <v>92</v>
      </c>
      <c r="K17" s="76" t="s">
        <v>249</v>
      </c>
      <c r="L17" s="75" t="s">
        <v>122</v>
      </c>
    </row>
    <row r="18" spans="2:12" x14ac:dyDescent="0.45">
      <c r="B18" s="76" t="s">
        <v>158</v>
      </c>
      <c r="C18" s="75" t="s">
        <v>55</v>
      </c>
      <c r="E18" s="76" t="s">
        <v>188</v>
      </c>
      <c r="F18" s="75" t="s">
        <v>75</v>
      </c>
      <c r="H18" s="76" t="s">
        <v>228</v>
      </c>
      <c r="I18" s="75" t="s">
        <v>106</v>
      </c>
      <c r="K18" s="76" t="s">
        <v>247</v>
      </c>
      <c r="L18" s="75" t="s">
        <v>121</v>
      </c>
    </row>
    <row r="19" spans="2:12" x14ac:dyDescent="0.45">
      <c r="B19" s="76" t="s">
        <v>161</v>
      </c>
      <c r="C19" s="75" t="s">
        <v>58</v>
      </c>
      <c r="E19" s="76" t="s">
        <v>205</v>
      </c>
      <c r="F19" s="75" t="s">
        <v>89</v>
      </c>
      <c r="H19" s="76" t="s">
        <v>233</v>
      </c>
      <c r="I19" s="75" t="s">
        <v>110</v>
      </c>
      <c r="K19" s="76" t="s">
        <v>250</v>
      </c>
      <c r="L19" s="75" t="s">
        <v>123</v>
      </c>
    </row>
    <row r="20" spans="2:12" x14ac:dyDescent="0.45">
      <c r="B20" s="76" t="s">
        <v>152</v>
      </c>
      <c r="C20" s="75" t="s">
        <v>30</v>
      </c>
      <c r="E20" s="76" t="s">
        <v>181</v>
      </c>
      <c r="F20" s="75" t="s">
        <v>28</v>
      </c>
      <c r="H20" s="76" t="s">
        <v>214</v>
      </c>
      <c r="I20" s="75" t="s">
        <v>94</v>
      </c>
      <c r="K20" s="76" t="s">
        <v>255</v>
      </c>
      <c r="L20" s="75" t="s">
        <v>128</v>
      </c>
    </row>
    <row r="21" spans="2:12" x14ac:dyDescent="0.45">
      <c r="B21" s="76" t="s">
        <v>156</v>
      </c>
      <c r="C21" s="75" t="s">
        <v>53</v>
      </c>
      <c r="E21" s="76" t="s">
        <v>191</v>
      </c>
      <c r="F21" s="75" t="s">
        <v>78</v>
      </c>
      <c r="H21" s="76" t="s">
        <v>218</v>
      </c>
      <c r="I21" s="75" t="s">
        <v>374</v>
      </c>
      <c r="K21" s="76" t="s">
        <v>604</v>
      </c>
      <c r="L21" s="75" t="s">
        <v>597</v>
      </c>
    </row>
    <row r="22" spans="2:12" x14ac:dyDescent="0.45">
      <c r="B22" s="76" t="s">
        <v>153</v>
      </c>
      <c r="C22" s="75" t="s">
        <v>50</v>
      </c>
      <c r="E22" s="76" t="s">
        <v>186</v>
      </c>
      <c r="F22" s="75" t="s">
        <v>73</v>
      </c>
      <c r="H22" s="76" t="s">
        <v>234</v>
      </c>
      <c r="I22" s="75" t="s">
        <v>111</v>
      </c>
      <c r="K22" s="76" t="s">
        <v>257</v>
      </c>
      <c r="L22" s="75" t="s">
        <v>130</v>
      </c>
    </row>
    <row r="23" spans="2:12" x14ac:dyDescent="0.45">
      <c r="B23" s="76" t="s">
        <v>157</v>
      </c>
      <c r="C23" s="75" t="s">
        <v>54</v>
      </c>
      <c r="E23" s="76" t="s">
        <v>180</v>
      </c>
      <c r="F23" s="75" t="s">
        <v>71</v>
      </c>
      <c r="H23" s="76" t="s">
        <v>227</v>
      </c>
      <c r="I23" s="75" t="s">
        <v>105</v>
      </c>
      <c r="K23" s="76" t="s">
        <v>261</v>
      </c>
      <c r="L23" s="75" t="s">
        <v>134</v>
      </c>
    </row>
    <row r="24" spans="2:12" x14ac:dyDescent="0.45">
      <c r="B24" s="76" t="s">
        <v>154</v>
      </c>
      <c r="C24" s="75" t="s">
        <v>51</v>
      </c>
      <c r="E24" s="76" t="s">
        <v>185</v>
      </c>
      <c r="F24" s="75" t="s">
        <v>72</v>
      </c>
      <c r="H24" s="76" t="s">
        <v>239</v>
      </c>
      <c r="I24" s="75" t="s">
        <v>46</v>
      </c>
      <c r="K24" s="76" t="s">
        <v>254</v>
      </c>
      <c r="L24" s="75" t="s">
        <v>127</v>
      </c>
    </row>
    <row r="25" spans="2:12" x14ac:dyDescent="0.45">
      <c r="B25" s="76" t="s">
        <v>164</v>
      </c>
      <c r="C25" s="75" t="s">
        <v>60</v>
      </c>
      <c r="E25" s="76" t="s">
        <v>189</v>
      </c>
      <c r="F25" s="75" t="s">
        <v>76</v>
      </c>
      <c r="H25" s="76" t="s">
        <v>216</v>
      </c>
      <c r="I25" s="75" t="s">
        <v>24</v>
      </c>
      <c r="K25" s="76" t="s">
        <v>253</v>
      </c>
      <c r="L25" s="75" t="s">
        <v>126</v>
      </c>
    </row>
    <row r="26" spans="2:12" x14ac:dyDescent="0.45">
      <c r="B26" s="76" t="s">
        <v>159</v>
      </c>
      <c r="C26" s="75" t="s">
        <v>56</v>
      </c>
      <c r="E26" s="76" t="s">
        <v>182</v>
      </c>
      <c r="F26" s="75" t="s">
        <v>136</v>
      </c>
      <c r="H26" s="76" t="s">
        <v>203</v>
      </c>
      <c r="I26" s="75" t="s">
        <v>87</v>
      </c>
      <c r="K26" s="76" t="s">
        <v>259</v>
      </c>
      <c r="L26" s="75" t="s">
        <v>132</v>
      </c>
    </row>
    <row r="27" spans="2:12" x14ac:dyDescent="0.45">
      <c r="B27" s="76" t="s">
        <v>168</v>
      </c>
      <c r="C27" s="75" t="s">
        <v>41</v>
      </c>
      <c r="E27" s="76" t="s">
        <v>183</v>
      </c>
      <c r="F27" s="75" t="s">
        <v>36</v>
      </c>
      <c r="H27" s="76" t="s">
        <v>231</v>
      </c>
      <c r="I27" s="75" t="s">
        <v>109</v>
      </c>
      <c r="K27" s="76" t="s">
        <v>258</v>
      </c>
      <c r="L27" s="75" t="s">
        <v>131</v>
      </c>
    </row>
    <row r="28" spans="2:12" x14ac:dyDescent="0.45">
      <c r="B28" s="76" t="s">
        <v>162</v>
      </c>
      <c r="C28" s="75" t="s">
        <v>59</v>
      </c>
      <c r="E28" s="76" t="s">
        <v>210</v>
      </c>
      <c r="F28" s="75" t="s">
        <v>23</v>
      </c>
      <c r="H28" s="76" t="s">
        <v>230</v>
      </c>
      <c r="I28" s="75" t="s">
        <v>108</v>
      </c>
      <c r="K28" s="76" t="s">
        <v>256</v>
      </c>
      <c r="L28" s="75" t="s">
        <v>129</v>
      </c>
    </row>
    <row r="29" spans="2:12" x14ac:dyDescent="0.45">
      <c r="B29" s="76" t="s">
        <v>173</v>
      </c>
      <c r="C29" s="75" t="s">
        <v>26</v>
      </c>
      <c r="E29" s="76" t="s">
        <v>187</v>
      </c>
      <c r="F29" s="75" t="s">
        <v>74</v>
      </c>
      <c r="H29" s="76" t="s">
        <v>225</v>
      </c>
      <c r="I29" s="75" t="s">
        <v>103</v>
      </c>
      <c r="K29" s="76" t="s">
        <v>260</v>
      </c>
      <c r="L29" s="75" t="s">
        <v>133</v>
      </c>
    </row>
    <row r="30" spans="2:12" x14ac:dyDescent="0.45">
      <c r="B30" s="76" t="s">
        <v>169</v>
      </c>
      <c r="C30" s="75" t="s">
        <v>64</v>
      </c>
      <c r="E30" s="76" t="s">
        <v>184</v>
      </c>
      <c r="F30" s="75" t="s">
        <v>337</v>
      </c>
      <c r="H30" s="76" t="s">
        <v>217</v>
      </c>
      <c r="I30" s="75" t="s">
        <v>96</v>
      </c>
      <c r="K30" s="76" t="s">
        <v>605</v>
      </c>
      <c r="L30" s="75" t="s">
        <v>598</v>
      </c>
    </row>
    <row r="31" spans="2:12" x14ac:dyDescent="0.45">
      <c r="B31" s="76" t="s">
        <v>167</v>
      </c>
      <c r="C31" s="75" t="s">
        <v>63</v>
      </c>
      <c r="E31" s="76" t="s">
        <v>207</v>
      </c>
      <c r="F31" s="75" t="s">
        <v>90</v>
      </c>
      <c r="H31" s="76" t="s">
        <v>213</v>
      </c>
      <c r="I31" s="75" t="s">
        <v>93</v>
      </c>
      <c r="K31" s="76" t="s">
        <v>262</v>
      </c>
      <c r="L31" s="75" t="s">
        <v>135</v>
      </c>
    </row>
    <row r="32" spans="2:12" x14ac:dyDescent="0.45">
      <c r="B32" s="76" t="s">
        <v>163</v>
      </c>
      <c r="C32" s="75" t="s">
        <v>311</v>
      </c>
      <c r="E32" s="76" t="s">
        <v>199</v>
      </c>
      <c r="F32" s="75" t="s">
        <v>33</v>
      </c>
      <c r="H32" s="76" t="s">
        <v>235</v>
      </c>
      <c r="I32" s="75" t="s">
        <v>112</v>
      </c>
    </row>
    <row r="33" spans="2:9" x14ac:dyDescent="0.45">
      <c r="B33" s="76" t="s">
        <v>171</v>
      </c>
      <c r="C33" s="75" t="s">
        <v>315</v>
      </c>
      <c r="E33" s="76" t="s">
        <v>204</v>
      </c>
      <c r="F33" s="75" t="s">
        <v>88</v>
      </c>
      <c r="H33" s="76" t="s">
        <v>226</v>
      </c>
      <c r="I33" s="75" t="s">
        <v>104</v>
      </c>
    </row>
    <row r="34" spans="2:9" x14ac:dyDescent="0.45">
      <c r="B34" s="76" t="s">
        <v>166</v>
      </c>
      <c r="C34" s="75" t="s">
        <v>62</v>
      </c>
      <c r="E34" s="76" t="s">
        <v>201</v>
      </c>
      <c r="F34" s="75" t="s">
        <v>86</v>
      </c>
      <c r="H34" s="76" t="s">
        <v>245</v>
      </c>
      <c r="I34" s="75" t="s">
        <v>400</v>
      </c>
    </row>
    <row r="35" spans="2:9" x14ac:dyDescent="0.45">
      <c r="B35" s="76" t="s">
        <v>170</v>
      </c>
      <c r="C35" s="75" t="s">
        <v>65</v>
      </c>
      <c r="E35" s="76" t="s">
        <v>200</v>
      </c>
      <c r="F35" s="75" t="s">
        <v>85</v>
      </c>
      <c r="H35" s="76" t="s">
        <v>237</v>
      </c>
      <c r="I35" s="75" t="s">
        <v>114</v>
      </c>
    </row>
    <row r="36" spans="2:9" x14ac:dyDescent="0.45">
      <c r="B36" s="76" t="s">
        <v>165</v>
      </c>
      <c r="C36" s="75" t="s">
        <v>61</v>
      </c>
      <c r="E36" s="76" t="s">
        <v>222</v>
      </c>
      <c r="F36" s="75" t="s">
        <v>100</v>
      </c>
      <c r="H36" s="76" t="s">
        <v>236</v>
      </c>
      <c r="I36" s="75" t="s">
        <v>113</v>
      </c>
    </row>
  </sheetData>
  <pageMargins left="0.7" right="0.7" top="0.75" bottom="0.75" header="0.3" footer="0.3"/>
  <pageSetup orientation="portrait" horizontalDpi="300" verticalDpi="30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B1:F132"/>
  <sheetViews>
    <sheetView workbookViewId="0">
      <selection activeCell="B6" sqref="B6"/>
    </sheetView>
  </sheetViews>
  <sheetFormatPr defaultRowHeight="14.25" x14ac:dyDescent="0.45"/>
  <cols>
    <col min="2" max="2" width="30.3984375" customWidth="1"/>
  </cols>
  <sheetData>
    <row r="1" spans="2:6" x14ac:dyDescent="0.45">
      <c r="B1" t="s">
        <v>7</v>
      </c>
      <c r="C1" t="s">
        <v>637</v>
      </c>
      <c r="D1" t="s">
        <v>641</v>
      </c>
      <c r="E1" t="s">
        <v>642</v>
      </c>
      <c r="F1" t="s">
        <v>643</v>
      </c>
    </row>
    <row r="2" spans="2:6" x14ac:dyDescent="0.45">
      <c r="B2" t="s">
        <v>896</v>
      </c>
    </row>
    <row r="3" spans="2:6" x14ac:dyDescent="0.45">
      <c r="B3" s="81"/>
      <c r="C3" s="8" t="s">
        <v>278</v>
      </c>
      <c r="D3" s="4" t="s">
        <v>277</v>
      </c>
      <c r="E3" s="4"/>
      <c r="F3" s="20"/>
    </row>
    <row r="4" spans="2:6" ht="71.25" customHeight="1" x14ac:dyDescent="0.45">
      <c r="B4" s="77" t="s">
        <v>7</v>
      </c>
      <c r="C4" s="78" t="s">
        <v>1</v>
      </c>
      <c r="D4" s="79" t="s">
        <v>266</v>
      </c>
      <c r="E4" s="79" t="s">
        <v>267</v>
      </c>
      <c r="F4" s="80" t="s">
        <v>276</v>
      </c>
    </row>
    <row r="5" spans="2:6" x14ac:dyDescent="0.45">
      <c r="B5" s="24" t="s">
        <v>281</v>
      </c>
      <c r="C5" s="11">
        <v>1</v>
      </c>
      <c r="D5" s="5">
        <v>2</v>
      </c>
      <c r="E5" s="5">
        <v>1</v>
      </c>
      <c r="F5" s="5">
        <v>1</v>
      </c>
    </row>
    <row r="6" spans="2:6" x14ac:dyDescent="0.45">
      <c r="B6" s="25" t="s">
        <v>14</v>
      </c>
      <c r="C6" s="10">
        <v>2</v>
      </c>
      <c r="D6" s="7">
        <v>14</v>
      </c>
      <c r="E6" s="7">
        <v>2</v>
      </c>
      <c r="F6" s="22">
        <v>5</v>
      </c>
    </row>
    <row r="7" spans="2:6" x14ac:dyDescent="0.45">
      <c r="B7" s="26" t="s">
        <v>9</v>
      </c>
      <c r="C7" s="10">
        <v>3</v>
      </c>
      <c r="D7" s="6">
        <v>15</v>
      </c>
      <c r="E7" s="6">
        <v>3</v>
      </c>
      <c r="F7" s="23">
        <v>7</v>
      </c>
    </row>
    <row r="8" spans="2:6" x14ac:dyDescent="0.45">
      <c r="B8" s="25" t="s">
        <v>15</v>
      </c>
      <c r="C8" s="10">
        <v>4</v>
      </c>
      <c r="D8" s="7">
        <v>4</v>
      </c>
      <c r="E8" s="7">
        <v>14</v>
      </c>
      <c r="F8" s="22">
        <v>2</v>
      </c>
    </row>
    <row r="9" spans="2:6" x14ac:dyDescent="0.45">
      <c r="B9" s="26" t="s">
        <v>16</v>
      </c>
      <c r="C9" s="10">
        <v>5</v>
      </c>
      <c r="D9" s="6">
        <v>13</v>
      </c>
      <c r="E9" s="6">
        <v>4</v>
      </c>
      <c r="F9" s="23">
        <v>8</v>
      </c>
    </row>
    <row r="10" spans="2:6" x14ac:dyDescent="0.45">
      <c r="B10" s="25" t="s">
        <v>11</v>
      </c>
      <c r="C10" s="10">
        <v>6</v>
      </c>
      <c r="D10" s="7">
        <v>19</v>
      </c>
      <c r="E10" s="7">
        <v>9</v>
      </c>
      <c r="F10" s="22">
        <v>3</v>
      </c>
    </row>
    <row r="11" spans="2:6" x14ac:dyDescent="0.45">
      <c r="B11" s="26" t="s">
        <v>18</v>
      </c>
      <c r="C11" s="10">
        <v>7</v>
      </c>
      <c r="D11" s="6">
        <v>11</v>
      </c>
      <c r="E11" s="6">
        <v>5</v>
      </c>
      <c r="F11" s="23">
        <v>17</v>
      </c>
    </row>
    <row r="12" spans="2:6" x14ac:dyDescent="0.45">
      <c r="B12" s="25" t="s">
        <v>12</v>
      </c>
      <c r="C12" s="10">
        <v>8</v>
      </c>
      <c r="D12" s="7">
        <v>16</v>
      </c>
      <c r="E12" s="7">
        <v>8</v>
      </c>
      <c r="F12" s="22">
        <v>9</v>
      </c>
    </row>
    <row r="13" spans="2:6" x14ac:dyDescent="0.45">
      <c r="B13" s="26" t="s">
        <v>13</v>
      </c>
      <c r="C13" s="10">
        <v>9</v>
      </c>
      <c r="D13" s="6">
        <v>22</v>
      </c>
      <c r="E13" s="6">
        <v>10</v>
      </c>
      <c r="F13" s="23">
        <v>10</v>
      </c>
    </row>
    <row r="14" spans="2:6" x14ac:dyDescent="0.45">
      <c r="B14" s="25" t="s">
        <v>282</v>
      </c>
      <c r="C14" s="10">
        <v>10</v>
      </c>
      <c r="D14" s="7">
        <v>29</v>
      </c>
      <c r="E14" s="7">
        <v>17</v>
      </c>
      <c r="F14" s="22">
        <v>4</v>
      </c>
    </row>
    <row r="15" spans="2:6" x14ac:dyDescent="0.45">
      <c r="B15" s="26" t="s">
        <v>35</v>
      </c>
      <c r="C15" s="10">
        <v>11</v>
      </c>
      <c r="D15" s="6">
        <v>30</v>
      </c>
      <c r="E15" s="6">
        <v>7</v>
      </c>
      <c r="F15" s="23">
        <v>14</v>
      </c>
    </row>
    <row r="16" spans="2:6" x14ac:dyDescent="0.45">
      <c r="B16" s="25" t="s">
        <v>41</v>
      </c>
      <c r="C16" s="10">
        <v>12</v>
      </c>
      <c r="D16" s="7">
        <v>1</v>
      </c>
      <c r="E16" s="7">
        <v>15</v>
      </c>
      <c r="F16" s="22">
        <v>22</v>
      </c>
    </row>
    <row r="17" spans="2:6" x14ac:dyDescent="0.45">
      <c r="B17" s="26" t="s">
        <v>315</v>
      </c>
      <c r="C17" s="10">
        <v>13</v>
      </c>
      <c r="D17" s="6">
        <v>3</v>
      </c>
      <c r="E17" s="6">
        <v>19</v>
      </c>
      <c r="F17" s="23">
        <v>16</v>
      </c>
    </row>
    <row r="18" spans="2:6" x14ac:dyDescent="0.45">
      <c r="B18" s="25" t="s">
        <v>53</v>
      </c>
      <c r="C18" s="10">
        <v>14</v>
      </c>
      <c r="D18" s="7">
        <v>23</v>
      </c>
      <c r="E18" s="7">
        <v>16</v>
      </c>
      <c r="F18" s="22">
        <v>15</v>
      </c>
    </row>
    <row r="19" spans="2:6" x14ac:dyDescent="0.45">
      <c r="B19" s="26" t="s">
        <v>50</v>
      </c>
      <c r="C19" s="10">
        <v>15</v>
      </c>
      <c r="D19" s="6">
        <v>9</v>
      </c>
      <c r="E19" s="6">
        <v>24</v>
      </c>
      <c r="F19" s="23">
        <v>18</v>
      </c>
    </row>
    <row r="20" spans="2:6" x14ac:dyDescent="0.45">
      <c r="B20" s="25" t="s">
        <v>52</v>
      </c>
      <c r="C20" s="10">
        <v>16</v>
      </c>
      <c r="D20" s="7">
        <v>10</v>
      </c>
      <c r="E20" s="7">
        <v>41</v>
      </c>
      <c r="F20" s="22">
        <v>11</v>
      </c>
    </row>
    <row r="21" spans="2:6" x14ac:dyDescent="0.45">
      <c r="B21" s="26" t="s">
        <v>26</v>
      </c>
      <c r="C21" s="10">
        <v>17</v>
      </c>
      <c r="D21" s="6">
        <v>5</v>
      </c>
      <c r="E21" s="6">
        <v>54</v>
      </c>
      <c r="F21" s="23">
        <v>6</v>
      </c>
    </row>
    <row r="22" spans="2:6" x14ac:dyDescent="0.45">
      <c r="B22" s="25" t="s">
        <v>17</v>
      </c>
      <c r="C22" s="10">
        <v>18</v>
      </c>
      <c r="D22" s="7">
        <v>20</v>
      </c>
      <c r="E22" s="7">
        <v>11</v>
      </c>
      <c r="F22" s="22">
        <v>34</v>
      </c>
    </row>
    <row r="23" spans="2:6" x14ac:dyDescent="0.45">
      <c r="B23" s="26" t="s">
        <v>30</v>
      </c>
      <c r="C23" s="10">
        <v>19</v>
      </c>
      <c r="D23" s="6">
        <v>18</v>
      </c>
      <c r="E23" s="6">
        <v>12</v>
      </c>
      <c r="F23" s="23">
        <v>39</v>
      </c>
    </row>
    <row r="24" spans="2:6" x14ac:dyDescent="0.45">
      <c r="B24" s="25" t="s">
        <v>51</v>
      </c>
      <c r="C24" s="10">
        <v>20</v>
      </c>
      <c r="D24" s="7">
        <v>35</v>
      </c>
      <c r="E24" s="7">
        <v>21</v>
      </c>
      <c r="F24" s="22">
        <v>20</v>
      </c>
    </row>
    <row r="25" spans="2:6" x14ac:dyDescent="0.45">
      <c r="B25" s="26" t="s">
        <v>54</v>
      </c>
      <c r="C25" s="10">
        <v>21</v>
      </c>
      <c r="D25" s="6">
        <v>24</v>
      </c>
      <c r="E25" s="6">
        <v>27</v>
      </c>
      <c r="F25" s="23">
        <v>19</v>
      </c>
    </row>
    <row r="26" spans="2:6" x14ac:dyDescent="0.45">
      <c r="B26" s="25" t="s">
        <v>60</v>
      </c>
      <c r="C26" s="10">
        <v>22</v>
      </c>
      <c r="D26" s="7">
        <v>52</v>
      </c>
      <c r="E26" s="7">
        <v>6</v>
      </c>
      <c r="F26" s="22">
        <v>36</v>
      </c>
    </row>
    <row r="27" spans="2:6" x14ac:dyDescent="0.45">
      <c r="B27" s="26" t="s">
        <v>59</v>
      </c>
      <c r="C27" s="10">
        <v>23</v>
      </c>
      <c r="D27" s="6">
        <v>6</v>
      </c>
      <c r="E27" s="6">
        <v>31</v>
      </c>
      <c r="F27" s="23">
        <v>27</v>
      </c>
    </row>
    <row r="28" spans="2:6" x14ac:dyDescent="0.45">
      <c r="B28" s="25" t="s">
        <v>55</v>
      </c>
      <c r="C28" s="10">
        <v>24</v>
      </c>
      <c r="D28" s="7">
        <v>39</v>
      </c>
      <c r="E28" s="7">
        <v>28</v>
      </c>
      <c r="F28" s="22">
        <v>21</v>
      </c>
    </row>
    <row r="29" spans="2:6" x14ac:dyDescent="0.45">
      <c r="B29" s="26" t="s">
        <v>65</v>
      </c>
      <c r="C29" s="10">
        <v>25</v>
      </c>
      <c r="D29" s="6">
        <v>38</v>
      </c>
      <c r="E29" s="6">
        <v>23</v>
      </c>
      <c r="F29" s="23">
        <v>29</v>
      </c>
    </row>
    <row r="30" spans="2:6" x14ac:dyDescent="0.45">
      <c r="B30" s="25" t="s">
        <v>89</v>
      </c>
      <c r="C30" s="10">
        <v>26</v>
      </c>
      <c r="D30" s="7">
        <v>8</v>
      </c>
      <c r="E30" s="7">
        <v>36</v>
      </c>
      <c r="F30" s="22">
        <v>28</v>
      </c>
    </row>
    <row r="31" spans="2:6" x14ac:dyDescent="0.45">
      <c r="B31" s="26" t="s">
        <v>27</v>
      </c>
      <c r="C31" s="10">
        <v>27</v>
      </c>
      <c r="D31" s="6">
        <v>7</v>
      </c>
      <c r="E31" s="6">
        <v>60</v>
      </c>
      <c r="F31" s="23">
        <v>12</v>
      </c>
    </row>
    <row r="32" spans="2:6" x14ac:dyDescent="0.45">
      <c r="B32" s="25" t="s">
        <v>56</v>
      </c>
      <c r="C32" s="10">
        <v>28</v>
      </c>
      <c r="D32" s="7">
        <v>46</v>
      </c>
      <c r="E32" s="7">
        <v>20</v>
      </c>
      <c r="F32" s="22">
        <v>32</v>
      </c>
    </row>
    <row r="33" spans="2:6" x14ac:dyDescent="0.45">
      <c r="B33" s="26" t="s">
        <v>311</v>
      </c>
      <c r="C33" s="10">
        <v>29</v>
      </c>
      <c r="D33" s="6">
        <v>34</v>
      </c>
      <c r="E33" s="6">
        <v>25</v>
      </c>
      <c r="F33" s="23">
        <v>35</v>
      </c>
    </row>
    <row r="34" spans="2:6" x14ac:dyDescent="0.45">
      <c r="B34" s="25" t="s">
        <v>63</v>
      </c>
      <c r="C34" s="10">
        <v>30</v>
      </c>
      <c r="D34" s="7">
        <v>43</v>
      </c>
      <c r="E34" s="7">
        <v>33</v>
      </c>
      <c r="F34" s="22">
        <v>26</v>
      </c>
    </row>
    <row r="35" spans="2:6" x14ac:dyDescent="0.45">
      <c r="B35" s="26" t="s">
        <v>58</v>
      </c>
      <c r="C35" s="10">
        <v>31</v>
      </c>
      <c r="D35" s="6">
        <v>44</v>
      </c>
      <c r="E35" s="6">
        <v>22</v>
      </c>
      <c r="F35" s="23">
        <v>41</v>
      </c>
    </row>
    <row r="36" spans="2:6" x14ac:dyDescent="0.45">
      <c r="B36" s="25" t="s">
        <v>57</v>
      </c>
      <c r="C36" s="10">
        <v>32</v>
      </c>
      <c r="D36" s="7">
        <v>37</v>
      </c>
      <c r="E36" s="7">
        <v>18</v>
      </c>
      <c r="F36" s="22">
        <v>52</v>
      </c>
    </row>
    <row r="37" spans="2:6" x14ac:dyDescent="0.45">
      <c r="B37" s="26" t="s">
        <v>44</v>
      </c>
      <c r="C37" s="10">
        <v>33</v>
      </c>
      <c r="D37" s="6">
        <v>40</v>
      </c>
      <c r="E37" s="6">
        <v>30</v>
      </c>
      <c r="F37" s="23">
        <v>47</v>
      </c>
    </row>
    <row r="38" spans="2:6" x14ac:dyDescent="0.45">
      <c r="B38" s="25" t="s">
        <v>61</v>
      </c>
      <c r="C38" s="10">
        <v>34</v>
      </c>
      <c r="D38" s="7">
        <v>27</v>
      </c>
      <c r="E38" s="7">
        <v>43</v>
      </c>
      <c r="F38" s="22">
        <v>40</v>
      </c>
    </row>
    <row r="39" spans="2:6" x14ac:dyDescent="0.45">
      <c r="B39" s="26" t="s">
        <v>137</v>
      </c>
      <c r="C39" s="10">
        <v>35</v>
      </c>
      <c r="D39" s="6">
        <v>12</v>
      </c>
      <c r="E39" s="6">
        <v>37</v>
      </c>
      <c r="F39" s="23">
        <v>66</v>
      </c>
    </row>
    <row r="40" spans="2:6" x14ac:dyDescent="0.45">
      <c r="B40" s="25" t="s">
        <v>28</v>
      </c>
      <c r="C40" s="10">
        <v>36</v>
      </c>
      <c r="D40" s="7">
        <v>32</v>
      </c>
      <c r="E40" s="7">
        <v>92</v>
      </c>
      <c r="F40" s="22">
        <v>13</v>
      </c>
    </row>
    <row r="41" spans="2:6" x14ac:dyDescent="0.45">
      <c r="B41" s="26" t="s">
        <v>64</v>
      </c>
      <c r="C41" s="10">
        <v>37</v>
      </c>
      <c r="D41" s="6">
        <v>21</v>
      </c>
      <c r="E41" s="6">
        <v>44</v>
      </c>
      <c r="F41" s="23">
        <v>49</v>
      </c>
    </row>
    <row r="42" spans="2:6" x14ac:dyDescent="0.45">
      <c r="B42" s="25" t="s">
        <v>42</v>
      </c>
      <c r="C42" s="10">
        <v>38</v>
      </c>
      <c r="D42" s="7">
        <v>31</v>
      </c>
      <c r="E42" s="7">
        <v>56</v>
      </c>
      <c r="F42" s="22">
        <v>31</v>
      </c>
    </row>
    <row r="43" spans="2:6" x14ac:dyDescent="0.45">
      <c r="B43" s="26" t="s">
        <v>62</v>
      </c>
      <c r="C43" s="10">
        <v>39</v>
      </c>
      <c r="D43" s="6">
        <v>66</v>
      </c>
      <c r="E43" s="6">
        <v>39</v>
      </c>
      <c r="F43" s="23">
        <v>33</v>
      </c>
    </row>
    <row r="44" spans="2:6" x14ac:dyDescent="0.45">
      <c r="B44" s="25" t="s">
        <v>337</v>
      </c>
      <c r="C44" s="10">
        <v>40</v>
      </c>
      <c r="D44" s="7">
        <v>17</v>
      </c>
      <c r="E44" s="7">
        <v>38</v>
      </c>
      <c r="F44" s="22">
        <v>75</v>
      </c>
    </row>
    <row r="45" spans="2:6" x14ac:dyDescent="0.45">
      <c r="B45" s="26" t="s">
        <v>66</v>
      </c>
      <c r="C45" s="10">
        <v>41</v>
      </c>
      <c r="D45" s="6">
        <v>26</v>
      </c>
      <c r="E45" s="6">
        <v>42</v>
      </c>
      <c r="F45" s="23">
        <v>68</v>
      </c>
    </row>
    <row r="46" spans="2:6" x14ac:dyDescent="0.45">
      <c r="B46" s="25" t="s">
        <v>70</v>
      </c>
      <c r="C46" s="10">
        <v>42</v>
      </c>
      <c r="D46" s="7">
        <v>59</v>
      </c>
      <c r="E46" s="7">
        <v>26</v>
      </c>
      <c r="F46" s="22">
        <v>77</v>
      </c>
    </row>
    <row r="47" spans="2:6" x14ac:dyDescent="0.45">
      <c r="B47" s="26" t="s">
        <v>110</v>
      </c>
      <c r="C47" s="10">
        <v>43</v>
      </c>
      <c r="D47" s="6">
        <v>41</v>
      </c>
      <c r="E47" s="6">
        <v>35</v>
      </c>
      <c r="F47" s="23">
        <v>86</v>
      </c>
    </row>
    <row r="48" spans="2:6" x14ac:dyDescent="0.45">
      <c r="B48" s="25" t="s">
        <v>374</v>
      </c>
      <c r="C48" s="10">
        <v>44</v>
      </c>
      <c r="D48" s="7">
        <v>92</v>
      </c>
      <c r="E48" s="7">
        <v>34</v>
      </c>
      <c r="F48" s="22">
        <v>30</v>
      </c>
    </row>
    <row r="49" spans="2:6" x14ac:dyDescent="0.45">
      <c r="B49" s="26" t="s">
        <v>69</v>
      </c>
      <c r="C49" s="10">
        <v>45</v>
      </c>
      <c r="D49" s="6">
        <v>33</v>
      </c>
      <c r="E49" s="6">
        <v>47</v>
      </c>
      <c r="F49" s="23">
        <v>62</v>
      </c>
    </row>
    <row r="50" spans="2:6" x14ac:dyDescent="0.45">
      <c r="B50" s="25" t="s">
        <v>79</v>
      </c>
      <c r="C50" s="10">
        <v>46</v>
      </c>
      <c r="D50" s="7">
        <v>36</v>
      </c>
      <c r="E50" s="7">
        <v>59</v>
      </c>
      <c r="F50" s="22">
        <v>44</v>
      </c>
    </row>
    <row r="51" spans="2:6" x14ac:dyDescent="0.45">
      <c r="B51" s="26" t="s">
        <v>98</v>
      </c>
      <c r="C51" s="10">
        <v>47</v>
      </c>
      <c r="D51" s="6">
        <v>74</v>
      </c>
      <c r="E51" s="6">
        <v>32</v>
      </c>
      <c r="F51" s="23">
        <v>58</v>
      </c>
    </row>
    <row r="52" spans="2:6" x14ac:dyDescent="0.45">
      <c r="B52" s="25" t="s">
        <v>112</v>
      </c>
      <c r="C52" s="10">
        <v>48</v>
      </c>
      <c r="D52" s="7">
        <v>104</v>
      </c>
      <c r="E52" s="7">
        <v>29</v>
      </c>
      <c r="F52" s="22">
        <v>24</v>
      </c>
    </row>
    <row r="53" spans="2:6" x14ac:dyDescent="0.45">
      <c r="B53" s="26" t="s">
        <v>67</v>
      </c>
      <c r="C53" s="10">
        <v>49</v>
      </c>
      <c r="D53" s="6">
        <v>28</v>
      </c>
      <c r="E53" s="6">
        <v>53</v>
      </c>
      <c r="F53" s="23">
        <v>67</v>
      </c>
    </row>
    <row r="54" spans="2:6" x14ac:dyDescent="0.45">
      <c r="B54" s="25" t="s">
        <v>68</v>
      </c>
      <c r="C54" s="10">
        <v>50</v>
      </c>
      <c r="D54" s="7">
        <v>48</v>
      </c>
      <c r="E54" s="7">
        <v>45</v>
      </c>
      <c r="F54" s="22">
        <v>90</v>
      </c>
    </row>
    <row r="55" spans="2:6" x14ac:dyDescent="0.45">
      <c r="B55" s="26" t="s">
        <v>76</v>
      </c>
      <c r="C55" s="10">
        <v>51</v>
      </c>
      <c r="D55" s="6">
        <v>51</v>
      </c>
      <c r="E55" s="6">
        <v>50</v>
      </c>
      <c r="F55" s="23">
        <v>65</v>
      </c>
    </row>
    <row r="56" spans="2:6" x14ac:dyDescent="0.45">
      <c r="B56" s="25" t="s">
        <v>72</v>
      </c>
      <c r="C56" s="10">
        <v>52</v>
      </c>
      <c r="D56" s="7">
        <v>53</v>
      </c>
      <c r="E56" s="7">
        <v>48</v>
      </c>
      <c r="F56" s="22">
        <v>69</v>
      </c>
    </row>
    <row r="57" spans="2:6" x14ac:dyDescent="0.45">
      <c r="B57" s="26" t="s">
        <v>78</v>
      </c>
      <c r="C57" s="10">
        <v>53</v>
      </c>
      <c r="D57" s="6">
        <v>71</v>
      </c>
      <c r="E57" s="6">
        <v>40</v>
      </c>
      <c r="F57" s="23">
        <v>70</v>
      </c>
    </row>
    <row r="58" spans="2:6" x14ac:dyDescent="0.45">
      <c r="B58" s="25" t="s">
        <v>91</v>
      </c>
      <c r="C58" s="10">
        <v>54</v>
      </c>
      <c r="D58" s="7">
        <v>100</v>
      </c>
      <c r="E58" s="7">
        <v>46</v>
      </c>
      <c r="F58" s="22">
        <v>23</v>
      </c>
    </row>
    <row r="59" spans="2:6" x14ac:dyDescent="0.45">
      <c r="B59" s="26" t="s">
        <v>77</v>
      </c>
      <c r="C59" s="10">
        <v>55</v>
      </c>
      <c r="D59" s="6">
        <v>61</v>
      </c>
      <c r="E59" s="6">
        <v>88</v>
      </c>
      <c r="F59" s="23">
        <v>25</v>
      </c>
    </row>
    <row r="60" spans="2:6" x14ac:dyDescent="0.45">
      <c r="B60" s="25" t="s">
        <v>86</v>
      </c>
      <c r="C60" s="10">
        <v>56</v>
      </c>
      <c r="D60" s="7">
        <v>97</v>
      </c>
      <c r="E60" s="7">
        <v>13</v>
      </c>
      <c r="F60" s="22">
        <v>87</v>
      </c>
    </row>
    <row r="61" spans="2:6" x14ac:dyDescent="0.45">
      <c r="B61" s="26" t="s">
        <v>75</v>
      </c>
      <c r="C61" s="10">
        <v>57</v>
      </c>
      <c r="D61" s="6">
        <v>47</v>
      </c>
      <c r="E61" s="6">
        <v>63</v>
      </c>
      <c r="F61" s="23">
        <v>56</v>
      </c>
    </row>
    <row r="62" spans="2:6" x14ac:dyDescent="0.45">
      <c r="B62" s="25" t="s">
        <v>33</v>
      </c>
      <c r="C62" s="10">
        <v>58</v>
      </c>
      <c r="D62" s="7">
        <v>55</v>
      </c>
      <c r="E62" s="7">
        <v>64</v>
      </c>
      <c r="F62" s="22">
        <v>48</v>
      </c>
    </row>
    <row r="63" spans="2:6" x14ac:dyDescent="0.45">
      <c r="B63" s="26" t="s">
        <v>32</v>
      </c>
      <c r="C63" s="10">
        <v>59</v>
      </c>
      <c r="D63" s="6">
        <v>63</v>
      </c>
      <c r="E63" s="6">
        <v>49</v>
      </c>
      <c r="F63" s="23">
        <v>63</v>
      </c>
    </row>
    <row r="64" spans="2:6" x14ac:dyDescent="0.45">
      <c r="B64" s="25" t="s">
        <v>36</v>
      </c>
      <c r="C64" s="10">
        <v>60</v>
      </c>
      <c r="D64" s="7">
        <v>54</v>
      </c>
      <c r="E64" s="7">
        <v>73</v>
      </c>
      <c r="F64" s="22">
        <v>50</v>
      </c>
    </row>
    <row r="65" spans="2:6" x14ac:dyDescent="0.45">
      <c r="B65" s="26" t="s">
        <v>73</v>
      </c>
      <c r="C65" s="10">
        <v>61</v>
      </c>
      <c r="D65" s="6">
        <v>45</v>
      </c>
      <c r="E65" s="6">
        <v>57</v>
      </c>
      <c r="F65" s="23">
        <v>85</v>
      </c>
    </row>
    <row r="66" spans="2:6" x14ac:dyDescent="0.45">
      <c r="B66" s="25" t="s">
        <v>136</v>
      </c>
      <c r="C66" s="10">
        <v>62</v>
      </c>
      <c r="D66" s="7">
        <v>25</v>
      </c>
      <c r="E66" s="7">
        <v>51</v>
      </c>
      <c r="F66" s="22">
        <v>100</v>
      </c>
    </row>
    <row r="67" spans="2:6" x14ac:dyDescent="0.45">
      <c r="B67" s="26" t="s">
        <v>88</v>
      </c>
      <c r="C67" s="10">
        <v>63</v>
      </c>
      <c r="D67" s="6">
        <v>67</v>
      </c>
      <c r="E67" s="6">
        <v>67</v>
      </c>
      <c r="F67" s="23">
        <v>46</v>
      </c>
    </row>
    <row r="68" spans="2:6" x14ac:dyDescent="0.45">
      <c r="B68" s="25" t="s">
        <v>90</v>
      </c>
      <c r="C68" s="10">
        <v>64</v>
      </c>
      <c r="D68" s="7">
        <v>49</v>
      </c>
      <c r="E68" s="7">
        <v>66</v>
      </c>
      <c r="F68" s="22">
        <v>73</v>
      </c>
    </row>
    <row r="69" spans="2:6" x14ac:dyDescent="0.45">
      <c r="B69" s="26" t="s">
        <v>74</v>
      </c>
      <c r="C69" s="10">
        <v>65</v>
      </c>
      <c r="D69" s="6">
        <v>62</v>
      </c>
      <c r="E69" s="6">
        <v>82</v>
      </c>
      <c r="F69" s="23">
        <v>43</v>
      </c>
    </row>
    <row r="70" spans="2:6" x14ac:dyDescent="0.45">
      <c r="B70" s="25" t="s">
        <v>22</v>
      </c>
      <c r="C70" s="10">
        <v>66</v>
      </c>
      <c r="D70" s="7">
        <v>73</v>
      </c>
      <c r="E70" s="7">
        <v>58</v>
      </c>
      <c r="F70" s="22">
        <v>54</v>
      </c>
    </row>
    <row r="71" spans="2:6" x14ac:dyDescent="0.45">
      <c r="B71" s="26" t="s">
        <v>81</v>
      </c>
      <c r="C71" s="10">
        <v>67</v>
      </c>
      <c r="D71" s="6">
        <v>78</v>
      </c>
      <c r="E71" s="6">
        <v>84</v>
      </c>
      <c r="F71" s="23">
        <v>37</v>
      </c>
    </row>
    <row r="72" spans="2:6" x14ac:dyDescent="0.45">
      <c r="B72" s="25" t="s">
        <v>104</v>
      </c>
      <c r="C72" s="10">
        <v>68</v>
      </c>
      <c r="D72" s="7">
        <v>75</v>
      </c>
      <c r="E72" s="7">
        <v>70</v>
      </c>
      <c r="F72" s="22">
        <v>45</v>
      </c>
    </row>
    <row r="73" spans="2:6" x14ac:dyDescent="0.45">
      <c r="B73" s="26" t="s">
        <v>80</v>
      </c>
      <c r="C73" s="10">
        <v>69</v>
      </c>
      <c r="D73" s="6">
        <v>56</v>
      </c>
      <c r="E73" s="6">
        <v>87</v>
      </c>
      <c r="F73" s="23">
        <v>57</v>
      </c>
    </row>
    <row r="74" spans="2:6" x14ac:dyDescent="0.45">
      <c r="B74" s="25" t="s">
        <v>101</v>
      </c>
      <c r="C74" s="10">
        <v>70</v>
      </c>
      <c r="D74" s="7">
        <v>72</v>
      </c>
      <c r="E74" s="7">
        <v>90</v>
      </c>
      <c r="F74" s="22">
        <v>42</v>
      </c>
    </row>
    <row r="75" spans="2:6" x14ac:dyDescent="0.45">
      <c r="B75" s="26" t="s">
        <v>71</v>
      </c>
      <c r="C75" s="10">
        <v>71</v>
      </c>
      <c r="D75" s="6">
        <v>50</v>
      </c>
      <c r="E75" s="6">
        <v>52</v>
      </c>
      <c r="F75" s="23">
        <v>104</v>
      </c>
    </row>
    <row r="76" spans="2:6" x14ac:dyDescent="0.45">
      <c r="B76" s="25" t="s">
        <v>95</v>
      </c>
      <c r="C76" s="10">
        <v>72</v>
      </c>
      <c r="D76" s="7">
        <v>57</v>
      </c>
      <c r="E76" s="7">
        <v>94</v>
      </c>
      <c r="F76" s="22">
        <v>60</v>
      </c>
    </row>
    <row r="77" spans="2:6" x14ac:dyDescent="0.45">
      <c r="B77" s="26" t="s">
        <v>83</v>
      </c>
      <c r="C77" s="10">
        <v>73</v>
      </c>
      <c r="D77" s="6">
        <v>64</v>
      </c>
      <c r="E77" s="6">
        <v>71</v>
      </c>
      <c r="F77" s="23">
        <v>79</v>
      </c>
    </row>
    <row r="78" spans="2:6" x14ac:dyDescent="0.45">
      <c r="B78" s="25" t="s">
        <v>100</v>
      </c>
      <c r="C78" s="10">
        <v>74</v>
      </c>
      <c r="D78" s="7">
        <v>84</v>
      </c>
      <c r="E78" s="7">
        <v>65</v>
      </c>
      <c r="F78" s="22">
        <v>55</v>
      </c>
    </row>
    <row r="79" spans="2:6" x14ac:dyDescent="0.45">
      <c r="B79" s="26" t="s">
        <v>596</v>
      </c>
      <c r="C79" s="10">
        <v>75</v>
      </c>
      <c r="D79" s="6">
        <v>60</v>
      </c>
      <c r="E79" s="6">
        <v>76</v>
      </c>
      <c r="F79" s="23">
        <v>82</v>
      </c>
    </row>
    <row r="80" spans="2:6" x14ac:dyDescent="0.45">
      <c r="B80" s="25" t="s">
        <v>23</v>
      </c>
      <c r="C80" s="10">
        <v>76</v>
      </c>
      <c r="D80" s="7">
        <v>69</v>
      </c>
      <c r="E80" s="7">
        <v>80</v>
      </c>
      <c r="F80" s="22">
        <v>64</v>
      </c>
    </row>
    <row r="81" spans="2:6" x14ac:dyDescent="0.45">
      <c r="B81" s="26" t="s">
        <v>84</v>
      </c>
      <c r="C81" s="10">
        <v>77</v>
      </c>
      <c r="D81" s="6">
        <v>70</v>
      </c>
      <c r="E81" s="6">
        <v>68</v>
      </c>
      <c r="F81" s="23">
        <v>81</v>
      </c>
    </row>
    <row r="82" spans="2:6" x14ac:dyDescent="0.45">
      <c r="B82" s="25" t="s">
        <v>82</v>
      </c>
      <c r="C82" s="10">
        <v>78</v>
      </c>
      <c r="D82" s="7">
        <v>65</v>
      </c>
      <c r="E82" s="7">
        <v>55</v>
      </c>
      <c r="F82" s="22">
        <v>99</v>
      </c>
    </row>
    <row r="83" spans="2:6" x14ac:dyDescent="0.45">
      <c r="B83" s="26" t="s">
        <v>24</v>
      </c>
      <c r="C83" s="10">
        <v>79</v>
      </c>
      <c r="D83" s="6">
        <v>80</v>
      </c>
      <c r="E83" s="6">
        <v>62</v>
      </c>
      <c r="F83" s="23">
        <v>74</v>
      </c>
    </row>
    <row r="84" spans="2:6" x14ac:dyDescent="0.45">
      <c r="B84" s="25" t="s">
        <v>96</v>
      </c>
      <c r="C84" s="10">
        <v>80</v>
      </c>
      <c r="D84" s="7">
        <v>89</v>
      </c>
      <c r="E84" s="7">
        <v>72</v>
      </c>
      <c r="F84" s="22">
        <v>53</v>
      </c>
    </row>
    <row r="85" spans="2:6" x14ac:dyDescent="0.45">
      <c r="B85" s="26" t="s">
        <v>85</v>
      </c>
      <c r="C85" s="10">
        <v>81</v>
      </c>
      <c r="D85" s="6">
        <v>58</v>
      </c>
      <c r="E85" s="6">
        <v>83</v>
      </c>
      <c r="F85" s="23">
        <v>94</v>
      </c>
    </row>
    <row r="86" spans="2:6" x14ac:dyDescent="0.45">
      <c r="B86" s="25" t="s">
        <v>94</v>
      </c>
      <c r="C86" s="10">
        <v>82</v>
      </c>
      <c r="D86" s="7">
        <v>96</v>
      </c>
      <c r="E86" s="7">
        <v>74</v>
      </c>
      <c r="F86" s="22">
        <v>61</v>
      </c>
    </row>
    <row r="87" spans="2:6" x14ac:dyDescent="0.45">
      <c r="B87" s="26" t="s">
        <v>353</v>
      </c>
      <c r="C87" s="10">
        <v>83</v>
      </c>
      <c r="D87" s="6">
        <v>42</v>
      </c>
      <c r="E87" s="6">
        <v>69</v>
      </c>
      <c r="F87" s="23">
        <v>125</v>
      </c>
    </row>
    <row r="88" spans="2:6" x14ac:dyDescent="0.45">
      <c r="B88" s="25" t="s">
        <v>115</v>
      </c>
      <c r="C88" s="10">
        <v>84</v>
      </c>
      <c r="D88" s="7">
        <v>79</v>
      </c>
      <c r="E88" s="7">
        <v>79</v>
      </c>
      <c r="F88" s="22">
        <v>92</v>
      </c>
    </row>
    <row r="89" spans="2:6" x14ac:dyDescent="0.45">
      <c r="B89" s="26" t="s">
        <v>106</v>
      </c>
      <c r="C89" s="10">
        <v>85</v>
      </c>
      <c r="D89" s="6">
        <v>68</v>
      </c>
      <c r="E89" s="6">
        <v>95</v>
      </c>
      <c r="F89" s="23">
        <v>96</v>
      </c>
    </row>
    <row r="90" spans="2:6" x14ac:dyDescent="0.45">
      <c r="B90" s="25" t="s">
        <v>46</v>
      </c>
      <c r="C90" s="10">
        <v>86</v>
      </c>
      <c r="D90" s="7">
        <v>93</v>
      </c>
      <c r="E90" s="7">
        <v>107</v>
      </c>
      <c r="F90" s="22">
        <v>51</v>
      </c>
    </row>
    <row r="91" spans="2:6" x14ac:dyDescent="0.45">
      <c r="B91" s="26" t="s">
        <v>111</v>
      </c>
      <c r="C91" s="10">
        <v>87</v>
      </c>
      <c r="D91" s="6">
        <v>83</v>
      </c>
      <c r="E91" s="6">
        <v>105</v>
      </c>
      <c r="F91" s="23">
        <v>72</v>
      </c>
    </row>
    <row r="92" spans="2:6" x14ac:dyDescent="0.45">
      <c r="B92" s="25" t="s">
        <v>107</v>
      </c>
      <c r="C92" s="10">
        <v>88</v>
      </c>
      <c r="D92" s="7">
        <v>99</v>
      </c>
      <c r="E92" s="7">
        <v>85</v>
      </c>
      <c r="F92" s="22">
        <v>83</v>
      </c>
    </row>
    <row r="93" spans="2:6" x14ac:dyDescent="0.45">
      <c r="B93" s="26" t="s">
        <v>87</v>
      </c>
      <c r="C93" s="10">
        <v>89</v>
      </c>
      <c r="D93" s="6">
        <v>76</v>
      </c>
      <c r="E93" s="6">
        <v>75</v>
      </c>
      <c r="F93" s="23">
        <v>111</v>
      </c>
    </row>
    <row r="94" spans="2:6" x14ac:dyDescent="0.45">
      <c r="B94" s="25" t="s">
        <v>114</v>
      </c>
      <c r="C94" s="10">
        <v>90</v>
      </c>
      <c r="D94" s="7">
        <v>102</v>
      </c>
      <c r="E94" s="7">
        <v>97</v>
      </c>
      <c r="F94" s="22">
        <v>59</v>
      </c>
    </row>
    <row r="95" spans="2:6" x14ac:dyDescent="0.45">
      <c r="B95" s="26" t="s">
        <v>92</v>
      </c>
      <c r="C95" s="10">
        <v>91</v>
      </c>
      <c r="D95" s="6">
        <v>87</v>
      </c>
      <c r="E95" s="6">
        <v>77</v>
      </c>
      <c r="F95" s="23">
        <v>103</v>
      </c>
    </row>
    <row r="96" spans="2:6" x14ac:dyDescent="0.45">
      <c r="B96" s="25" t="s">
        <v>93</v>
      </c>
      <c r="C96" s="10">
        <v>92</v>
      </c>
      <c r="D96" s="7">
        <v>86</v>
      </c>
      <c r="E96" s="7">
        <v>103</v>
      </c>
      <c r="F96" s="22">
        <v>89</v>
      </c>
    </row>
    <row r="97" spans="2:6" x14ac:dyDescent="0.45">
      <c r="B97" s="26" t="s">
        <v>99</v>
      </c>
      <c r="C97" s="10">
        <v>93</v>
      </c>
      <c r="D97" s="6">
        <v>82</v>
      </c>
      <c r="E97" s="6">
        <v>102</v>
      </c>
      <c r="F97" s="23">
        <v>98</v>
      </c>
    </row>
    <row r="98" spans="2:6" x14ac:dyDescent="0.45">
      <c r="B98" s="25" t="s">
        <v>390</v>
      </c>
      <c r="C98" s="10">
        <v>94</v>
      </c>
      <c r="D98" s="7">
        <v>88</v>
      </c>
      <c r="E98" s="7">
        <v>115</v>
      </c>
      <c r="F98" s="22">
        <v>78</v>
      </c>
    </row>
    <row r="99" spans="2:6" x14ac:dyDescent="0.45">
      <c r="B99" s="26" t="s">
        <v>113</v>
      </c>
      <c r="C99" s="10">
        <v>95</v>
      </c>
      <c r="D99" s="6">
        <v>81</v>
      </c>
      <c r="E99" s="6">
        <v>101</v>
      </c>
      <c r="F99" s="23">
        <v>108</v>
      </c>
    </row>
    <row r="100" spans="2:6" x14ac:dyDescent="0.45">
      <c r="B100" s="25" t="s">
        <v>117</v>
      </c>
      <c r="C100" s="10">
        <v>96</v>
      </c>
      <c r="D100" s="7">
        <v>111</v>
      </c>
      <c r="E100" s="7">
        <v>61</v>
      </c>
      <c r="F100" s="22">
        <v>91</v>
      </c>
    </row>
    <row r="101" spans="2:6" x14ac:dyDescent="0.45">
      <c r="B101" s="26" t="s">
        <v>97</v>
      </c>
      <c r="C101" s="10">
        <v>97</v>
      </c>
      <c r="D101" s="6">
        <v>77</v>
      </c>
      <c r="E101" s="6">
        <v>93</v>
      </c>
      <c r="F101" s="23">
        <v>120</v>
      </c>
    </row>
    <row r="102" spans="2:6" x14ac:dyDescent="0.45">
      <c r="B102" s="25" t="s">
        <v>109</v>
      </c>
      <c r="C102" s="10">
        <v>98</v>
      </c>
      <c r="D102" s="7">
        <v>94</v>
      </c>
      <c r="E102" s="7">
        <v>89</v>
      </c>
      <c r="F102" s="22">
        <v>109</v>
      </c>
    </row>
    <row r="103" spans="2:6" x14ac:dyDescent="0.45">
      <c r="B103" s="26" t="s">
        <v>105</v>
      </c>
      <c r="C103" s="10">
        <v>99</v>
      </c>
      <c r="D103" s="6">
        <v>85</v>
      </c>
      <c r="E103" s="6">
        <v>99</v>
      </c>
      <c r="F103" s="23">
        <v>113</v>
      </c>
    </row>
    <row r="104" spans="2:6" x14ac:dyDescent="0.45">
      <c r="B104" s="25" t="s">
        <v>400</v>
      </c>
      <c r="C104" s="10">
        <v>100</v>
      </c>
      <c r="D104" s="7">
        <v>105</v>
      </c>
      <c r="E104" s="7">
        <v>108</v>
      </c>
      <c r="F104" s="22">
        <v>76</v>
      </c>
    </row>
    <row r="105" spans="2:6" x14ac:dyDescent="0.45">
      <c r="B105" s="26" t="s">
        <v>124</v>
      </c>
      <c r="C105" s="10">
        <v>101</v>
      </c>
      <c r="D105" s="6">
        <v>107</v>
      </c>
      <c r="E105" s="6">
        <v>78</v>
      </c>
      <c r="F105" s="23">
        <v>101</v>
      </c>
    </row>
    <row r="106" spans="2:6" x14ac:dyDescent="0.45">
      <c r="B106" s="25" t="s">
        <v>385</v>
      </c>
      <c r="C106" s="10">
        <v>102</v>
      </c>
      <c r="D106" s="7">
        <v>95</v>
      </c>
      <c r="E106" s="7">
        <v>106</v>
      </c>
      <c r="F106" s="22">
        <v>106</v>
      </c>
    </row>
    <row r="107" spans="2:6" x14ac:dyDescent="0.45">
      <c r="B107" s="26" t="s">
        <v>120</v>
      </c>
      <c r="C107" s="10">
        <v>103</v>
      </c>
      <c r="D107" s="6">
        <v>103</v>
      </c>
      <c r="E107" s="6">
        <v>91</v>
      </c>
      <c r="F107" s="23">
        <v>102</v>
      </c>
    </row>
    <row r="108" spans="2:6" x14ac:dyDescent="0.45">
      <c r="B108" s="25" t="s">
        <v>134</v>
      </c>
      <c r="C108" s="10">
        <v>104</v>
      </c>
      <c r="D108" s="7">
        <v>101</v>
      </c>
      <c r="E108" s="7">
        <v>81</v>
      </c>
      <c r="F108" s="22">
        <v>119</v>
      </c>
    </row>
    <row r="109" spans="2:6" x14ac:dyDescent="0.45">
      <c r="B109" s="26" t="s">
        <v>103</v>
      </c>
      <c r="C109" s="10">
        <v>105</v>
      </c>
      <c r="D109" s="6">
        <v>98</v>
      </c>
      <c r="E109" s="6">
        <v>100</v>
      </c>
      <c r="F109" s="23">
        <v>115</v>
      </c>
    </row>
    <row r="110" spans="2:6" x14ac:dyDescent="0.45">
      <c r="B110" s="25" t="s">
        <v>119</v>
      </c>
      <c r="C110" s="10">
        <v>106</v>
      </c>
      <c r="D110" s="7">
        <v>109</v>
      </c>
      <c r="E110" s="7">
        <v>111</v>
      </c>
      <c r="F110" s="22">
        <v>80</v>
      </c>
    </row>
    <row r="111" spans="2:6" x14ac:dyDescent="0.45">
      <c r="B111" s="26" t="s">
        <v>102</v>
      </c>
      <c r="C111" s="10">
        <v>107</v>
      </c>
      <c r="D111" s="6">
        <v>90</v>
      </c>
      <c r="E111" s="6">
        <v>116</v>
      </c>
      <c r="F111" s="23">
        <v>116</v>
      </c>
    </row>
    <row r="112" spans="2:6" x14ac:dyDescent="0.45">
      <c r="B112" s="25" t="s">
        <v>123</v>
      </c>
      <c r="C112" s="10">
        <v>108</v>
      </c>
      <c r="D112" s="7">
        <v>115</v>
      </c>
      <c r="E112" s="7">
        <v>98</v>
      </c>
      <c r="F112" s="22">
        <v>71</v>
      </c>
    </row>
    <row r="113" spans="2:6" x14ac:dyDescent="0.45">
      <c r="B113" s="26" t="s">
        <v>121</v>
      </c>
      <c r="C113" s="10">
        <v>109</v>
      </c>
      <c r="D113" s="6">
        <v>110</v>
      </c>
      <c r="E113" s="6">
        <v>86</v>
      </c>
      <c r="F113" s="23">
        <v>105</v>
      </c>
    </row>
    <row r="114" spans="2:6" x14ac:dyDescent="0.45">
      <c r="B114" s="25" t="s">
        <v>388</v>
      </c>
      <c r="C114" s="10">
        <v>110</v>
      </c>
      <c r="D114" s="7">
        <v>113</v>
      </c>
      <c r="E114" s="7">
        <v>122</v>
      </c>
      <c r="F114" s="22">
        <v>38</v>
      </c>
    </row>
    <row r="115" spans="2:6" x14ac:dyDescent="0.45">
      <c r="B115" s="26" t="s">
        <v>125</v>
      </c>
      <c r="C115" s="10">
        <v>111</v>
      </c>
      <c r="D115" s="6">
        <v>106</v>
      </c>
      <c r="E115" s="6">
        <v>96</v>
      </c>
      <c r="F115" s="23">
        <v>112</v>
      </c>
    </row>
    <row r="116" spans="2:6" x14ac:dyDescent="0.45">
      <c r="B116" s="25" t="s">
        <v>118</v>
      </c>
      <c r="C116" s="10">
        <v>112</v>
      </c>
      <c r="D116" s="7">
        <v>112</v>
      </c>
      <c r="E116" s="7">
        <v>110</v>
      </c>
      <c r="F116" s="22">
        <v>93</v>
      </c>
    </row>
    <row r="117" spans="2:6" x14ac:dyDescent="0.45">
      <c r="B117" s="26" t="s">
        <v>108</v>
      </c>
      <c r="C117" s="10">
        <v>113</v>
      </c>
      <c r="D117" s="6">
        <v>108</v>
      </c>
      <c r="E117" s="6">
        <v>120</v>
      </c>
      <c r="F117" s="23">
        <v>95</v>
      </c>
    </row>
    <row r="118" spans="2:6" x14ac:dyDescent="0.45">
      <c r="B118" s="25" t="s">
        <v>116</v>
      </c>
      <c r="C118" s="10">
        <v>114</v>
      </c>
      <c r="D118" s="7">
        <v>91</v>
      </c>
      <c r="E118" s="7">
        <v>121</v>
      </c>
      <c r="F118" s="22">
        <v>123</v>
      </c>
    </row>
    <row r="119" spans="2:6" x14ac:dyDescent="0.45">
      <c r="B119" s="26" t="s">
        <v>403</v>
      </c>
      <c r="C119" s="10">
        <v>115</v>
      </c>
      <c r="D119" s="6">
        <v>119</v>
      </c>
      <c r="E119" s="6">
        <v>114</v>
      </c>
      <c r="F119" s="23">
        <v>84</v>
      </c>
    </row>
    <row r="120" spans="2:6" x14ac:dyDescent="0.45">
      <c r="B120" s="25" t="s">
        <v>130</v>
      </c>
      <c r="C120" s="10">
        <v>116</v>
      </c>
      <c r="D120" s="7">
        <v>120</v>
      </c>
      <c r="E120" s="7">
        <v>104</v>
      </c>
      <c r="F120" s="22">
        <v>107</v>
      </c>
    </row>
    <row r="121" spans="2:6" x14ac:dyDescent="0.45">
      <c r="B121" s="26" t="s">
        <v>598</v>
      </c>
      <c r="C121" s="10">
        <v>117</v>
      </c>
      <c r="D121" s="6">
        <v>122</v>
      </c>
      <c r="E121" s="6">
        <v>117</v>
      </c>
      <c r="F121" s="23">
        <v>97</v>
      </c>
    </row>
    <row r="122" spans="2:6" x14ac:dyDescent="0.45">
      <c r="B122" s="25" t="s">
        <v>132</v>
      </c>
      <c r="C122" s="10">
        <v>118</v>
      </c>
      <c r="D122" s="7">
        <v>117</v>
      </c>
      <c r="E122" s="7">
        <v>113</v>
      </c>
      <c r="F122" s="22">
        <v>122</v>
      </c>
    </row>
    <row r="123" spans="2:6" x14ac:dyDescent="0.45">
      <c r="B123" s="26" t="s">
        <v>122</v>
      </c>
      <c r="C123" s="10">
        <v>119</v>
      </c>
      <c r="D123" s="6">
        <v>114</v>
      </c>
      <c r="E123" s="6">
        <v>124</v>
      </c>
      <c r="F123" s="23">
        <v>117</v>
      </c>
    </row>
    <row r="124" spans="2:6" x14ac:dyDescent="0.45">
      <c r="B124" s="25" t="s">
        <v>133</v>
      </c>
      <c r="C124" s="10">
        <v>120</v>
      </c>
      <c r="D124" s="7">
        <v>116</v>
      </c>
      <c r="E124" s="7">
        <v>118</v>
      </c>
      <c r="F124" s="22">
        <v>126</v>
      </c>
    </row>
    <row r="125" spans="2:6" x14ac:dyDescent="0.45">
      <c r="B125" s="26" t="s">
        <v>127</v>
      </c>
      <c r="C125" s="10">
        <v>121</v>
      </c>
      <c r="D125" s="6">
        <v>125</v>
      </c>
      <c r="E125" s="6">
        <v>127</v>
      </c>
      <c r="F125" s="23">
        <v>88</v>
      </c>
    </row>
    <row r="126" spans="2:6" x14ac:dyDescent="0.45">
      <c r="B126" s="25" t="s">
        <v>128</v>
      </c>
      <c r="C126" s="10">
        <v>122</v>
      </c>
      <c r="D126" s="7">
        <v>121</v>
      </c>
      <c r="E126" s="7">
        <v>123</v>
      </c>
      <c r="F126" s="22">
        <v>110</v>
      </c>
    </row>
    <row r="127" spans="2:6" x14ac:dyDescent="0.45">
      <c r="B127" s="26" t="s">
        <v>597</v>
      </c>
      <c r="C127" s="10">
        <v>123</v>
      </c>
      <c r="D127" s="6">
        <v>118</v>
      </c>
      <c r="E127" s="6">
        <v>119</v>
      </c>
      <c r="F127" s="23">
        <v>127</v>
      </c>
    </row>
    <row r="128" spans="2:6" x14ac:dyDescent="0.45">
      <c r="B128" s="25" t="s">
        <v>129</v>
      </c>
      <c r="C128" s="10">
        <v>124</v>
      </c>
      <c r="D128" s="7">
        <v>123</v>
      </c>
      <c r="E128" s="7">
        <v>125</v>
      </c>
      <c r="F128" s="22">
        <v>114</v>
      </c>
    </row>
    <row r="129" spans="2:6" x14ac:dyDescent="0.45">
      <c r="B129" s="26" t="s">
        <v>126</v>
      </c>
      <c r="C129" s="10">
        <v>125</v>
      </c>
      <c r="D129" s="6">
        <v>126</v>
      </c>
      <c r="E129" s="6">
        <v>109</v>
      </c>
      <c r="F129" s="23">
        <v>124</v>
      </c>
    </row>
    <row r="130" spans="2:6" x14ac:dyDescent="0.45">
      <c r="B130" s="25" t="s">
        <v>131</v>
      </c>
      <c r="C130" s="10">
        <v>126</v>
      </c>
      <c r="D130" s="7">
        <v>124</v>
      </c>
      <c r="E130" s="7">
        <v>126</v>
      </c>
      <c r="F130" s="22">
        <v>118</v>
      </c>
    </row>
    <row r="131" spans="2:6" x14ac:dyDescent="0.45">
      <c r="B131" s="96" t="s">
        <v>135</v>
      </c>
      <c r="C131" s="97">
        <v>127</v>
      </c>
      <c r="D131" s="98">
        <v>127</v>
      </c>
      <c r="E131" s="98">
        <v>112</v>
      </c>
      <c r="F131" s="99">
        <v>121</v>
      </c>
    </row>
    <row r="132" spans="2:6" x14ac:dyDescent="0.45">
      <c r="B132" t="s">
        <v>887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B1:F132"/>
  <sheetViews>
    <sheetView workbookViewId="0">
      <selection activeCell="B4" sqref="B4:F132"/>
    </sheetView>
  </sheetViews>
  <sheetFormatPr defaultRowHeight="14.25" x14ac:dyDescent="0.45"/>
  <cols>
    <col min="2" max="2" width="22.86328125" customWidth="1"/>
  </cols>
  <sheetData>
    <row r="1" spans="2:6" x14ac:dyDescent="0.45">
      <c r="B1" t="s">
        <v>7</v>
      </c>
      <c r="C1" t="s">
        <v>638</v>
      </c>
      <c r="D1" t="s">
        <v>644</v>
      </c>
      <c r="E1" t="s">
        <v>645</v>
      </c>
      <c r="F1" t="s">
        <v>646</v>
      </c>
    </row>
    <row r="2" spans="2:6" x14ac:dyDescent="0.45">
      <c r="B2" t="s">
        <v>897</v>
      </c>
    </row>
    <row r="3" spans="2:6" x14ac:dyDescent="0.45">
      <c r="B3" s="81"/>
      <c r="C3" s="8" t="s">
        <v>278</v>
      </c>
      <c r="D3" s="4" t="s">
        <v>277</v>
      </c>
      <c r="E3" s="4"/>
      <c r="F3" s="20"/>
    </row>
    <row r="4" spans="2:6" ht="74.25" customHeight="1" x14ac:dyDescent="0.45">
      <c r="B4" s="77" t="s">
        <v>7</v>
      </c>
      <c r="C4" s="78" t="s">
        <v>2</v>
      </c>
      <c r="D4" s="79" t="s">
        <v>268</v>
      </c>
      <c r="E4" s="79" t="s">
        <v>269</v>
      </c>
      <c r="F4" s="80" t="s">
        <v>270</v>
      </c>
    </row>
    <row r="5" spans="2:6" x14ac:dyDescent="0.45">
      <c r="B5" s="24" t="s">
        <v>281</v>
      </c>
      <c r="C5" s="11">
        <v>1</v>
      </c>
      <c r="D5" s="5">
        <v>14</v>
      </c>
      <c r="E5" s="5">
        <v>1</v>
      </c>
      <c r="F5" s="5">
        <v>2</v>
      </c>
    </row>
    <row r="6" spans="2:6" x14ac:dyDescent="0.45">
      <c r="B6" s="25" t="s">
        <v>282</v>
      </c>
      <c r="C6" s="10">
        <v>2</v>
      </c>
      <c r="D6" s="7">
        <v>4</v>
      </c>
      <c r="E6" s="7">
        <v>10</v>
      </c>
      <c r="F6" s="22">
        <v>1</v>
      </c>
    </row>
    <row r="7" spans="2:6" x14ac:dyDescent="0.45">
      <c r="B7" s="26" t="s">
        <v>58</v>
      </c>
      <c r="C7" s="10">
        <v>3</v>
      </c>
      <c r="D7" s="6">
        <v>7</v>
      </c>
      <c r="E7" s="6">
        <v>5</v>
      </c>
      <c r="F7" s="23">
        <v>5</v>
      </c>
    </row>
    <row r="8" spans="2:6" x14ac:dyDescent="0.45">
      <c r="B8" s="25" t="s">
        <v>15</v>
      </c>
      <c r="C8" s="10">
        <v>4</v>
      </c>
      <c r="D8" s="7">
        <v>3</v>
      </c>
      <c r="E8" s="7">
        <v>14</v>
      </c>
      <c r="F8" s="22">
        <v>4</v>
      </c>
    </row>
    <row r="9" spans="2:6" x14ac:dyDescent="0.45">
      <c r="B9" s="26" t="s">
        <v>18</v>
      </c>
      <c r="C9" s="10">
        <v>5</v>
      </c>
      <c r="D9" s="6">
        <v>33</v>
      </c>
      <c r="E9" s="6">
        <v>3</v>
      </c>
      <c r="F9" s="23">
        <v>3</v>
      </c>
    </row>
    <row r="10" spans="2:6" x14ac:dyDescent="0.45">
      <c r="B10" s="25" t="s">
        <v>41</v>
      </c>
      <c r="C10" s="10">
        <v>6</v>
      </c>
      <c r="D10" s="7">
        <v>1</v>
      </c>
      <c r="E10" s="7">
        <v>25</v>
      </c>
      <c r="F10" s="22">
        <v>21</v>
      </c>
    </row>
    <row r="11" spans="2:6" x14ac:dyDescent="0.45">
      <c r="B11" s="26" t="s">
        <v>57</v>
      </c>
      <c r="C11" s="10">
        <v>7</v>
      </c>
      <c r="D11" s="6">
        <v>21</v>
      </c>
      <c r="E11" s="6">
        <v>4</v>
      </c>
      <c r="F11" s="23">
        <v>9</v>
      </c>
    </row>
    <row r="12" spans="2:6" x14ac:dyDescent="0.45">
      <c r="B12" s="25" t="s">
        <v>52</v>
      </c>
      <c r="C12" s="10">
        <v>8</v>
      </c>
      <c r="D12" s="7">
        <v>6</v>
      </c>
      <c r="E12" s="7">
        <v>9</v>
      </c>
      <c r="F12" s="22">
        <v>15</v>
      </c>
    </row>
    <row r="13" spans="2:6" x14ac:dyDescent="0.45">
      <c r="B13" s="26" t="s">
        <v>16</v>
      </c>
      <c r="C13" s="10">
        <v>9</v>
      </c>
      <c r="D13" s="6">
        <v>32</v>
      </c>
      <c r="E13" s="6">
        <v>8</v>
      </c>
      <c r="F13" s="23">
        <v>8</v>
      </c>
    </row>
    <row r="14" spans="2:6" x14ac:dyDescent="0.45">
      <c r="B14" s="25" t="s">
        <v>13</v>
      </c>
      <c r="C14" s="10">
        <v>10</v>
      </c>
      <c r="D14" s="7">
        <v>17</v>
      </c>
      <c r="E14" s="7">
        <v>18</v>
      </c>
      <c r="F14" s="22">
        <v>10</v>
      </c>
    </row>
    <row r="15" spans="2:6" x14ac:dyDescent="0.45">
      <c r="B15" s="26" t="s">
        <v>11</v>
      </c>
      <c r="C15" s="10">
        <v>11</v>
      </c>
      <c r="D15" s="6">
        <v>34</v>
      </c>
      <c r="E15" s="6">
        <v>12</v>
      </c>
      <c r="F15" s="23">
        <v>6</v>
      </c>
    </row>
    <row r="16" spans="2:6" x14ac:dyDescent="0.45">
      <c r="B16" s="25" t="s">
        <v>35</v>
      </c>
      <c r="C16" s="10">
        <v>12</v>
      </c>
      <c r="D16" s="7">
        <v>40</v>
      </c>
      <c r="E16" s="7">
        <v>7</v>
      </c>
      <c r="F16" s="22">
        <v>16</v>
      </c>
    </row>
    <row r="17" spans="2:6" x14ac:dyDescent="0.45">
      <c r="B17" s="26" t="s">
        <v>60</v>
      </c>
      <c r="C17" s="10">
        <v>13</v>
      </c>
      <c r="D17" s="6">
        <v>92</v>
      </c>
      <c r="E17" s="6">
        <v>2</v>
      </c>
      <c r="F17" s="23">
        <v>23</v>
      </c>
    </row>
    <row r="18" spans="2:6" x14ac:dyDescent="0.45">
      <c r="B18" s="25" t="s">
        <v>30</v>
      </c>
      <c r="C18" s="10">
        <v>14</v>
      </c>
      <c r="D18" s="7">
        <v>46</v>
      </c>
      <c r="E18" s="7">
        <v>15</v>
      </c>
      <c r="F18" s="22">
        <v>13</v>
      </c>
    </row>
    <row r="19" spans="2:6" x14ac:dyDescent="0.45">
      <c r="B19" s="26" t="s">
        <v>14</v>
      </c>
      <c r="C19" s="10">
        <v>15</v>
      </c>
      <c r="D19" s="6">
        <v>25</v>
      </c>
      <c r="E19" s="6">
        <v>22</v>
      </c>
      <c r="F19" s="23">
        <v>12</v>
      </c>
    </row>
    <row r="20" spans="2:6" x14ac:dyDescent="0.45">
      <c r="B20" s="25" t="s">
        <v>50</v>
      </c>
      <c r="C20" s="10">
        <v>16</v>
      </c>
      <c r="D20" s="7">
        <v>37</v>
      </c>
      <c r="E20" s="7">
        <v>19</v>
      </c>
      <c r="F20" s="22">
        <v>14</v>
      </c>
    </row>
    <row r="21" spans="2:6" x14ac:dyDescent="0.45">
      <c r="B21" s="26" t="s">
        <v>12</v>
      </c>
      <c r="C21" s="10">
        <v>17</v>
      </c>
      <c r="D21" s="6">
        <v>54</v>
      </c>
      <c r="E21" s="6">
        <v>11</v>
      </c>
      <c r="F21" s="23">
        <v>18</v>
      </c>
    </row>
    <row r="22" spans="2:6" x14ac:dyDescent="0.45">
      <c r="B22" s="25" t="s">
        <v>9</v>
      </c>
      <c r="C22" s="10">
        <v>18</v>
      </c>
      <c r="D22" s="7">
        <v>45</v>
      </c>
      <c r="E22" s="7">
        <v>13</v>
      </c>
      <c r="F22" s="22">
        <v>19</v>
      </c>
    </row>
    <row r="23" spans="2:6" x14ac:dyDescent="0.45">
      <c r="B23" s="26" t="s">
        <v>26</v>
      </c>
      <c r="C23" s="10">
        <v>19</v>
      </c>
      <c r="D23" s="6">
        <v>16</v>
      </c>
      <c r="E23" s="6">
        <v>41</v>
      </c>
      <c r="F23" s="23">
        <v>11</v>
      </c>
    </row>
    <row r="24" spans="2:6" x14ac:dyDescent="0.45">
      <c r="B24" s="25" t="s">
        <v>54</v>
      </c>
      <c r="C24" s="10">
        <v>20</v>
      </c>
      <c r="D24" s="7">
        <v>79</v>
      </c>
      <c r="E24" s="7">
        <v>16</v>
      </c>
      <c r="F24" s="22">
        <v>17</v>
      </c>
    </row>
    <row r="25" spans="2:6" x14ac:dyDescent="0.45">
      <c r="B25" s="26" t="s">
        <v>59</v>
      </c>
      <c r="C25" s="10">
        <v>21</v>
      </c>
      <c r="D25" s="6">
        <v>26</v>
      </c>
      <c r="E25" s="6">
        <v>21</v>
      </c>
      <c r="F25" s="23">
        <v>27</v>
      </c>
    </row>
    <row r="26" spans="2:6" x14ac:dyDescent="0.45">
      <c r="B26" s="25" t="s">
        <v>62</v>
      </c>
      <c r="C26" s="10">
        <v>22</v>
      </c>
      <c r="D26" s="7">
        <v>42</v>
      </c>
      <c r="E26" s="7">
        <v>6</v>
      </c>
      <c r="F26" s="22">
        <v>51</v>
      </c>
    </row>
    <row r="27" spans="2:6" x14ac:dyDescent="0.45">
      <c r="B27" s="26" t="s">
        <v>17</v>
      </c>
      <c r="C27" s="10">
        <v>23</v>
      </c>
      <c r="D27" s="6">
        <v>72</v>
      </c>
      <c r="E27" s="6">
        <v>29</v>
      </c>
      <c r="F27" s="23">
        <v>7</v>
      </c>
    </row>
    <row r="28" spans="2:6" x14ac:dyDescent="0.45">
      <c r="B28" s="25" t="s">
        <v>63</v>
      </c>
      <c r="C28" s="10">
        <v>24</v>
      </c>
      <c r="D28" s="7">
        <v>36</v>
      </c>
      <c r="E28" s="7">
        <v>23</v>
      </c>
      <c r="F28" s="22">
        <v>34</v>
      </c>
    </row>
    <row r="29" spans="2:6" x14ac:dyDescent="0.45">
      <c r="B29" s="26" t="s">
        <v>42</v>
      </c>
      <c r="C29" s="10">
        <v>25</v>
      </c>
      <c r="D29" s="6">
        <v>11</v>
      </c>
      <c r="E29" s="6">
        <v>56</v>
      </c>
      <c r="F29" s="23">
        <v>24</v>
      </c>
    </row>
    <row r="30" spans="2:6" x14ac:dyDescent="0.45">
      <c r="B30" s="25" t="s">
        <v>77</v>
      </c>
      <c r="C30" s="10">
        <v>26</v>
      </c>
      <c r="D30" s="7">
        <v>15</v>
      </c>
      <c r="E30" s="7">
        <v>44</v>
      </c>
      <c r="F30" s="22">
        <v>25</v>
      </c>
    </row>
    <row r="31" spans="2:6" x14ac:dyDescent="0.45">
      <c r="B31" s="26" t="s">
        <v>27</v>
      </c>
      <c r="C31" s="10">
        <v>27</v>
      </c>
      <c r="D31" s="6">
        <v>10</v>
      </c>
      <c r="E31" s="6">
        <v>69</v>
      </c>
      <c r="F31" s="23">
        <v>22</v>
      </c>
    </row>
    <row r="32" spans="2:6" x14ac:dyDescent="0.45">
      <c r="B32" s="25" t="s">
        <v>64</v>
      </c>
      <c r="C32" s="10">
        <v>28</v>
      </c>
      <c r="D32" s="7">
        <v>22</v>
      </c>
      <c r="E32" s="7">
        <v>28</v>
      </c>
      <c r="F32" s="22">
        <v>35</v>
      </c>
    </row>
    <row r="33" spans="2:6" x14ac:dyDescent="0.45">
      <c r="B33" s="26" t="s">
        <v>51</v>
      </c>
      <c r="C33" s="10">
        <v>29</v>
      </c>
      <c r="D33" s="6">
        <v>56</v>
      </c>
      <c r="E33" s="6">
        <v>26</v>
      </c>
      <c r="F33" s="23">
        <v>26</v>
      </c>
    </row>
    <row r="34" spans="2:6" x14ac:dyDescent="0.45">
      <c r="B34" s="25" t="s">
        <v>55</v>
      </c>
      <c r="C34" s="10">
        <v>30</v>
      </c>
      <c r="D34" s="7">
        <v>47</v>
      </c>
      <c r="E34" s="7">
        <v>27</v>
      </c>
      <c r="F34" s="22">
        <v>29</v>
      </c>
    </row>
    <row r="35" spans="2:6" x14ac:dyDescent="0.45">
      <c r="B35" s="26" t="s">
        <v>56</v>
      </c>
      <c r="C35" s="10">
        <v>31</v>
      </c>
      <c r="D35" s="6">
        <v>77</v>
      </c>
      <c r="E35" s="6">
        <v>30</v>
      </c>
      <c r="F35" s="23">
        <v>20</v>
      </c>
    </row>
    <row r="36" spans="2:6" x14ac:dyDescent="0.45">
      <c r="B36" s="25" t="s">
        <v>136</v>
      </c>
      <c r="C36" s="10">
        <v>32</v>
      </c>
      <c r="D36" s="7">
        <v>2</v>
      </c>
      <c r="E36" s="7">
        <v>73</v>
      </c>
      <c r="F36" s="22">
        <v>50</v>
      </c>
    </row>
    <row r="37" spans="2:6" x14ac:dyDescent="0.45">
      <c r="B37" s="26" t="s">
        <v>100</v>
      </c>
      <c r="C37" s="10">
        <v>33</v>
      </c>
      <c r="D37" s="6">
        <v>5</v>
      </c>
      <c r="E37" s="6">
        <v>76</v>
      </c>
      <c r="F37" s="23">
        <v>47</v>
      </c>
    </row>
    <row r="38" spans="2:6" x14ac:dyDescent="0.45">
      <c r="B38" s="25" t="s">
        <v>44</v>
      </c>
      <c r="C38" s="10">
        <v>34</v>
      </c>
      <c r="D38" s="7">
        <v>68</v>
      </c>
      <c r="E38" s="7">
        <v>24</v>
      </c>
      <c r="F38" s="22">
        <v>52</v>
      </c>
    </row>
    <row r="39" spans="2:6" x14ac:dyDescent="0.45">
      <c r="B39" s="26" t="s">
        <v>53</v>
      </c>
      <c r="C39" s="10">
        <v>35</v>
      </c>
      <c r="D39" s="6">
        <v>87</v>
      </c>
      <c r="E39" s="6">
        <v>20</v>
      </c>
      <c r="F39" s="23">
        <v>41</v>
      </c>
    </row>
    <row r="40" spans="2:6" x14ac:dyDescent="0.45">
      <c r="B40" s="25" t="s">
        <v>315</v>
      </c>
      <c r="C40" s="10">
        <v>36</v>
      </c>
      <c r="D40" s="7">
        <v>18</v>
      </c>
      <c r="E40" s="7">
        <v>36</v>
      </c>
      <c r="F40" s="22">
        <v>73</v>
      </c>
    </row>
    <row r="41" spans="2:6" x14ac:dyDescent="0.45">
      <c r="B41" s="26" t="s">
        <v>89</v>
      </c>
      <c r="C41" s="10">
        <v>37</v>
      </c>
      <c r="D41" s="6">
        <v>29</v>
      </c>
      <c r="E41" s="6">
        <v>64</v>
      </c>
      <c r="F41" s="23">
        <v>30</v>
      </c>
    </row>
    <row r="42" spans="2:6" x14ac:dyDescent="0.45">
      <c r="B42" s="25" t="s">
        <v>68</v>
      </c>
      <c r="C42" s="10">
        <v>38</v>
      </c>
      <c r="D42" s="7">
        <v>50</v>
      </c>
      <c r="E42" s="7">
        <v>32</v>
      </c>
      <c r="F42" s="22">
        <v>59</v>
      </c>
    </row>
    <row r="43" spans="2:6" x14ac:dyDescent="0.45">
      <c r="B43" s="26" t="s">
        <v>88</v>
      </c>
      <c r="C43" s="10">
        <v>39</v>
      </c>
      <c r="D43" s="6">
        <v>19</v>
      </c>
      <c r="E43" s="6">
        <v>50</v>
      </c>
      <c r="F43" s="23">
        <v>55</v>
      </c>
    </row>
    <row r="44" spans="2:6" x14ac:dyDescent="0.45">
      <c r="B44" s="25" t="s">
        <v>66</v>
      </c>
      <c r="C44" s="10">
        <v>40</v>
      </c>
      <c r="D44" s="7">
        <v>20</v>
      </c>
      <c r="E44" s="7">
        <v>47</v>
      </c>
      <c r="F44" s="22">
        <v>57</v>
      </c>
    </row>
    <row r="45" spans="2:6" x14ac:dyDescent="0.45">
      <c r="B45" s="26" t="s">
        <v>137</v>
      </c>
      <c r="C45" s="10">
        <v>41</v>
      </c>
      <c r="D45" s="6">
        <v>9</v>
      </c>
      <c r="E45" s="6">
        <v>83</v>
      </c>
      <c r="F45" s="23">
        <v>46</v>
      </c>
    </row>
    <row r="46" spans="2:6" x14ac:dyDescent="0.45">
      <c r="B46" s="25" t="s">
        <v>311</v>
      </c>
      <c r="C46" s="10">
        <v>42</v>
      </c>
      <c r="D46" s="7">
        <v>73</v>
      </c>
      <c r="E46" s="7">
        <v>31</v>
      </c>
      <c r="F46" s="22">
        <v>44</v>
      </c>
    </row>
    <row r="47" spans="2:6" x14ac:dyDescent="0.45">
      <c r="B47" s="26" t="s">
        <v>32</v>
      </c>
      <c r="C47" s="10">
        <v>43</v>
      </c>
      <c r="D47" s="6">
        <v>12</v>
      </c>
      <c r="E47" s="6">
        <v>93</v>
      </c>
      <c r="F47" s="23">
        <v>39</v>
      </c>
    </row>
    <row r="48" spans="2:6" x14ac:dyDescent="0.45">
      <c r="B48" s="25" t="s">
        <v>91</v>
      </c>
      <c r="C48" s="10">
        <v>44</v>
      </c>
      <c r="D48" s="7">
        <v>24</v>
      </c>
      <c r="E48" s="7">
        <v>55</v>
      </c>
      <c r="F48" s="22">
        <v>56</v>
      </c>
    </row>
    <row r="49" spans="2:6" x14ac:dyDescent="0.45">
      <c r="B49" s="26" t="s">
        <v>65</v>
      </c>
      <c r="C49" s="10">
        <v>45</v>
      </c>
      <c r="D49" s="6">
        <v>39</v>
      </c>
      <c r="E49" s="6">
        <v>51</v>
      </c>
      <c r="F49" s="23">
        <v>45</v>
      </c>
    </row>
    <row r="50" spans="2:6" x14ac:dyDescent="0.45">
      <c r="B50" s="25" t="s">
        <v>79</v>
      </c>
      <c r="C50" s="10">
        <v>46</v>
      </c>
      <c r="D50" s="7">
        <v>13</v>
      </c>
      <c r="E50" s="7">
        <v>103</v>
      </c>
      <c r="F50" s="22">
        <v>40</v>
      </c>
    </row>
    <row r="51" spans="2:6" x14ac:dyDescent="0.45">
      <c r="B51" s="26" t="s">
        <v>28</v>
      </c>
      <c r="C51" s="10">
        <v>47</v>
      </c>
      <c r="D51" s="6">
        <v>8</v>
      </c>
      <c r="E51" s="6">
        <v>123</v>
      </c>
      <c r="F51" s="23">
        <v>32</v>
      </c>
    </row>
    <row r="52" spans="2:6" x14ac:dyDescent="0.45">
      <c r="B52" s="25" t="s">
        <v>23</v>
      </c>
      <c r="C52" s="10">
        <v>48</v>
      </c>
      <c r="D52" s="7">
        <v>66</v>
      </c>
      <c r="E52" s="7">
        <v>17</v>
      </c>
      <c r="F52" s="22">
        <v>90</v>
      </c>
    </row>
    <row r="53" spans="2:6" x14ac:dyDescent="0.45">
      <c r="B53" s="26" t="s">
        <v>61</v>
      </c>
      <c r="C53" s="10">
        <v>49</v>
      </c>
      <c r="D53" s="6">
        <v>82</v>
      </c>
      <c r="E53" s="6">
        <v>40</v>
      </c>
      <c r="F53" s="23">
        <v>37</v>
      </c>
    </row>
    <row r="54" spans="2:6" x14ac:dyDescent="0.45">
      <c r="B54" s="25" t="s">
        <v>337</v>
      </c>
      <c r="C54" s="10">
        <v>50</v>
      </c>
      <c r="D54" s="7">
        <v>67</v>
      </c>
      <c r="E54" s="7">
        <v>60</v>
      </c>
      <c r="F54" s="22">
        <v>31</v>
      </c>
    </row>
    <row r="55" spans="2:6" x14ac:dyDescent="0.45">
      <c r="B55" s="26" t="s">
        <v>76</v>
      </c>
      <c r="C55" s="10">
        <v>51</v>
      </c>
      <c r="D55" s="6">
        <v>38</v>
      </c>
      <c r="E55" s="6">
        <v>72</v>
      </c>
      <c r="F55" s="23">
        <v>42</v>
      </c>
    </row>
    <row r="56" spans="2:6" x14ac:dyDescent="0.45">
      <c r="B56" s="25" t="s">
        <v>78</v>
      </c>
      <c r="C56" s="10">
        <v>52</v>
      </c>
      <c r="D56" s="7">
        <v>83</v>
      </c>
      <c r="E56" s="7">
        <v>39</v>
      </c>
      <c r="F56" s="22">
        <v>54</v>
      </c>
    </row>
    <row r="57" spans="2:6" x14ac:dyDescent="0.45">
      <c r="B57" s="26" t="s">
        <v>75</v>
      </c>
      <c r="C57" s="10">
        <v>53</v>
      </c>
      <c r="D57" s="6">
        <v>69</v>
      </c>
      <c r="E57" s="6">
        <v>59</v>
      </c>
      <c r="F57" s="23">
        <v>36</v>
      </c>
    </row>
    <row r="58" spans="2:6" x14ac:dyDescent="0.45">
      <c r="B58" s="25" t="s">
        <v>81</v>
      </c>
      <c r="C58" s="10">
        <v>54</v>
      </c>
      <c r="D58" s="7">
        <v>51</v>
      </c>
      <c r="E58" s="7">
        <v>34</v>
      </c>
      <c r="F58" s="22">
        <v>87</v>
      </c>
    </row>
    <row r="59" spans="2:6" x14ac:dyDescent="0.45">
      <c r="B59" s="26" t="s">
        <v>82</v>
      </c>
      <c r="C59" s="10">
        <v>55</v>
      </c>
      <c r="D59" s="6">
        <v>35</v>
      </c>
      <c r="E59" s="6">
        <v>66</v>
      </c>
      <c r="F59" s="23">
        <v>64</v>
      </c>
    </row>
    <row r="60" spans="2:6" x14ac:dyDescent="0.45">
      <c r="B60" s="25" t="s">
        <v>92</v>
      </c>
      <c r="C60" s="10">
        <v>56</v>
      </c>
      <c r="D60" s="7">
        <v>28</v>
      </c>
      <c r="E60" s="7">
        <v>43</v>
      </c>
      <c r="F60" s="22">
        <v>86</v>
      </c>
    </row>
    <row r="61" spans="2:6" x14ac:dyDescent="0.45">
      <c r="B61" s="26" t="s">
        <v>90</v>
      </c>
      <c r="C61" s="10">
        <v>57</v>
      </c>
      <c r="D61" s="6">
        <v>27</v>
      </c>
      <c r="E61" s="6">
        <v>58</v>
      </c>
      <c r="F61" s="23">
        <v>70</v>
      </c>
    </row>
    <row r="62" spans="2:6" x14ac:dyDescent="0.45">
      <c r="B62" s="25" t="s">
        <v>84</v>
      </c>
      <c r="C62" s="10">
        <v>58</v>
      </c>
      <c r="D62" s="7">
        <v>75</v>
      </c>
      <c r="E62" s="7">
        <v>33</v>
      </c>
      <c r="F62" s="22">
        <v>83</v>
      </c>
    </row>
    <row r="63" spans="2:6" x14ac:dyDescent="0.45">
      <c r="B63" s="26" t="s">
        <v>97</v>
      </c>
      <c r="C63" s="10">
        <v>59</v>
      </c>
      <c r="D63" s="6">
        <v>86</v>
      </c>
      <c r="E63" s="6">
        <v>67</v>
      </c>
      <c r="F63" s="23">
        <v>33</v>
      </c>
    </row>
    <row r="64" spans="2:6" x14ac:dyDescent="0.45">
      <c r="B64" s="25" t="s">
        <v>69</v>
      </c>
      <c r="C64" s="10">
        <v>60</v>
      </c>
      <c r="D64" s="7">
        <v>49</v>
      </c>
      <c r="E64" s="7">
        <v>52</v>
      </c>
      <c r="F64" s="22">
        <v>71</v>
      </c>
    </row>
    <row r="65" spans="2:6" x14ac:dyDescent="0.45">
      <c r="B65" s="26" t="s">
        <v>74</v>
      </c>
      <c r="C65" s="10">
        <v>61</v>
      </c>
      <c r="D65" s="6">
        <v>23</v>
      </c>
      <c r="E65" s="6">
        <v>109</v>
      </c>
      <c r="F65" s="23">
        <v>58</v>
      </c>
    </row>
    <row r="66" spans="2:6" x14ac:dyDescent="0.45">
      <c r="B66" s="25" t="s">
        <v>107</v>
      </c>
      <c r="C66" s="10">
        <v>62</v>
      </c>
      <c r="D66" s="7">
        <v>61</v>
      </c>
      <c r="E66" s="7">
        <v>63</v>
      </c>
      <c r="F66" s="22">
        <v>61</v>
      </c>
    </row>
    <row r="67" spans="2:6" x14ac:dyDescent="0.45">
      <c r="B67" s="26" t="s">
        <v>71</v>
      </c>
      <c r="C67" s="10">
        <v>63</v>
      </c>
      <c r="D67" s="6">
        <v>70</v>
      </c>
      <c r="E67" s="6">
        <v>57</v>
      </c>
      <c r="F67" s="23">
        <v>62</v>
      </c>
    </row>
    <row r="68" spans="2:6" x14ac:dyDescent="0.45">
      <c r="B68" s="25" t="s">
        <v>108</v>
      </c>
      <c r="C68" s="10">
        <v>64</v>
      </c>
      <c r="D68" s="7">
        <v>80</v>
      </c>
      <c r="E68" s="7">
        <v>90</v>
      </c>
      <c r="F68" s="22">
        <v>28</v>
      </c>
    </row>
    <row r="69" spans="2:6" x14ac:dyDescent="0.45">
      <c r="B69" s="26" t="s">
        <v>72</v>
      </c>
      <c r="C69" s="10">
        <v>65</v>
      </c>
      <c r="D69" s="6">
        <v>85</v>
      </c>
      <c r="E69" s="6">
        <v>61</v>
      </c>
      <c r="F69" s="23">
        <v>48</v>
      </c>
    </row>
    <row r="70" spans="2:6" x14ac:dyDescent="0.45">
      <c r="B70" s="25" t="s">
        <v>85</v>
      </c>
      <c r="C70" s="10">
        <v>66</v>
      </c>
      <c r="D70" s="7">
        <v>41</v>
      </c>
      <c r="E70" s="7">
        <v>113</v>
      </c>
      <c r="F70" s="22">
        <v>38</v>
      </c>
    </row>
    <row r="71" spans="2:6" x14ac:dyDescent="0.45">
      <c r="B71" s="26" t="s">
        <v>99</v>
      </c>
      <c r="C71" s="10">
        <v>67</v>
      </c>
      <c r="D71" s="6">
        <v>65</v>
      </c>
      <c r="E71" s="6">
        <v>77</v>
      </c>
      <c r="F71" s="23">
        <v>60</v>
      </c>
    </row>
    <row r="72" spans="2:6" x14ac:dyDescent="0.45">
      <c r="B72" s="25" t="s">
        <v>70</v>
      </c>
      <c r="C72" s="10">
        <v>68</v>
      </c>
      <c r="D72" s="7">
        <v>55</v>
      </c>
      <c r="E72" s="7">
        <v>54</v>
      </c>
      <c r="F72" s="22">
        <v>81</v>
      </c>
    </row>
    <row r="73" spans="2:6" x14ac:dyDescent="0.45">
      <c r="B73" s="26" t="s">
        <v>67</v>
      </c>
      <c r="C73" s="10">
        <v>69</v>
      </c>
      <c r="D73" s="6">
        <v>94</v>
      </c>
      <c r="E73" s="6">
        <v>53</v>
      </c>
      <c r="F73" s="23">
        <v>63</v>
      </c>
    </row>
    <row r="74" spans="2:6" x14ac:dyDescent="0.45">
      <c r="B74" s="25" t="s">
        <v>95</v>
      </c>
      <c r="C74" s="10">
        <v>70</v>
      </c>
      <c r="D74" s="7">
        <v>53</v>
      </c>
      <c r="E74" s="7">
        <v>48</v>
      </c>
      <c r="F74" s="22">
        <v>89</v>
      </c>
    </row>
    <row r="75" spans="2:6" x14ac:dyDescent="0.45">
      <c r="B75" s="26" t="s">
        <v>73</v>
      </c>
      <c r="C75" s="10">
        <v>71</v>
      </c>
      <c r="D75" s="6">
        <v>52</v>
      </c>
      <c r="E75" s="6">
        <v>78</v>
      </c>
      <c r="F75" s="23">
        <v>76</v>
      </c>
    </row>
    <row r="76" spans="2:6" x14ac:dyDescent="0.45">
      <c r="B76" s="25" t="s">
        <v>22</v>
      </c>
      <c r="C76" s="10">
        <v>72</v>
      </c>
      <c r="D76" s="7">
        <v>102</v>
      </c>
      <c r="E76" s="7">
        <v>38</v>
      </c>
      <c r="F76" s="22">
        <v>68</v>
      </c>
    </row>
    <row r="77" spans="2:6" x14ac:dyDescent="0.45">
      <c r="B77" s="26" t="s">
        <v>36</v>
      </c>
      <c r="C77" s="10">
        <v>73</v>
      </c>
      <c r="D77" s="6">
        <v>60</v>
      </c>
      <c r="E77" s="6">
        <v>85</v>
      </c>
      <c r="F77" s="23">
        <v>67</v>
      </c>
    </row>
    <row r="78" spans="2:6" x14ac:dyDescent="0.45">
      <c r="B78" s="25" t="s">
        <v>33</v>
      </c>
      <c r="C78" s="10">
        <v>74</v>
      </c>
      <c r="D78" s="7">
        <v>58</v>
      </c>
      <c r="E78" s="7">
        <v>71</v>
      </c>
      <c r="F78" s="22">
        <v>85</v>
      </c>
    </row>
    <row r="79" spans="2:6" x14ac:dyDescent="0.45">
      <c r="B79" s="26" t="s">
        <v>86</v>
      </c>
      <c r="C79" s="10">
        <v>75</v>
      </c>
      <c r="D79" s="6">
        <v>44</v>
      </c>
      <c r="E79" s="6">
        <v>49</v>
      </c>
      <c r="F79" s="23">
        <v>104</v>
      </c>
    </row>
    <row r="80" spans="2:6" x14ac:dyDescent="0.45">
      <c r="B80" s="25" t="s">
        <v>374</v>
      </c>
      <c r="C80" s="10">
        <v>76</v>
      </c>
      <c r="D80" s="7">
        <v>43</v>
      </c>
      <c r="E80" s="7">
        <v>42</v>
      </c>
      <c r="F80" s="22">
        <v>112</v>
      </c>
    </row>
    <row r="81" spans="2:6" x14ac:dyDescent="0.45">
      <c r="B81" s="26" t="s">
        <v>596</v>
      </c>
      <c r="C81" s="10">
        <v>77</v>
      </c>
      <c r="D81" s="6">
        <v>62</v>
      </c>
      <c r="E81" s="6">
        <v>87</v>
      </c>
      <c r="F81" s="23">
        <v>74</v>
      </c>
    </row>
    <row r="82" spans="2:6" x14ac:dyDescent="0.45">
      <c r="B82" s="25" t="s">
        <v>83</v>
      </c>
      <c r="C82" s="10">
        <v>78</v>
      </c>
      <c r="D82" s="7">
        <v>99</v>
      </c>
      <c r="E82" s="7">
        <v>45</v>
      </c>
      <c r="F82" s="22">
        <v>69</v>
      </c>
    </row>
    <row r="83" spans="2:6" x14ac:dyDescent="0.45">
      <c r="B83" s="26" t="s">
        <v>353</v>
      </c>
      <c r="C83" s="10">
        <v>79</v>
      </c>
      <c r="D83" s="6">
        <v>63</v>
      </c>
      <c r="E83" s="6">
        <v>79</v>
      </c>
      <c r="F83" s="23">
        <v>82</v>
      </c>
    </row>
    <row r="84" spans="2:6" x14ac:dyDescent="0.45">
      <c r="B84" s="25" t="s">
        <v>98</v>
      </c>
      <c r="C84" s="10">
        <v>80</v>
      </c>
      <c r="D84" s="7">
        <v>78</v>
      </c>
      <c r="E84" s="7">
        <v>70</v>
      </c>
      <c r="F84" s="22">
        <v>78</v>
      </c>
    </row>
    <row r="85" spans="2:6" x14ac:dyDescent="0.45">
      <c r="B85" s="26" t="s">
        <v>103</v>
      </c>
      <c r="C85" s="10">
        <v>81</v>
      </c>
      <c r="D85" s="6">
        <v>74</v>
      </c>
      <c r="E85" s="6">
        <v>37</v>
      </c>
      <c r="F85" s="23">
        <v>116</v>
      </c>
    </row>
    <row r="86" spans="2:6" x14ac:dyDescent="0.45">
      <c r="B86" s="25" t="s">
        <v>111</v>
      </c>
      <c r="C86" s="10">
        <v>82</v>
      </c>
      <c r="D86" s="7">
        <v>103</v>
      </c>
      <c r="E86" s="7">
        <v>75</v>
      </c>
      <c r="F86" s="22">
        <v>49</v>
      </c>
    </row>
    <row r="87" spans="2:6" x14ac:dyDescent="0.45">
      <c r="B87" s="26" t="s">
        <v>105</v>
      </c>
      <c r="C87" s="10">
        <v>83</v>
      </c>
      <c r="D87" s="6">
        <v>96</v>
      </c>
      <c r="E87" s="6">
        <v>35</v>
      </c>
      <c r="F87" s="23">
        <v>106</v>
      </c>
    </row>
    <row r="88" spans="2:6" x14ac:dyDescent="0.45">
      <c r="B88" s="25" t="s">
        <v>104</v>
      </c>
      <c r="C88" s="10">
        <v>84</v>
      </c>
      <c r="D88" s="7">
        <v>48</v>
      </c>
      <c r="E88" s="7">
        <v>82</v>
      </c>
      <c r="F88" s="22">
        <v>98</v>
      </c>
    </row>
    <row r="89" spans="2:6" x14ac:dyDescent="0.45">
      <c r="B89" s="26" t="s">
        <v>106</v>
      </c>
      <c r="C89" s="10">
        <v>85</v>
      </c>
      <c r="D89" s="6">
        <v>59</v>
      </c>
      <c r="E89" s="6">
        <v>110</v>
      </c>
      <c r="F89" s="23">
        <v>77</v>
      </c>
    </row>
    <row r="90" spans="2:6" x14ac:dyDescent="0.45">
      <c r="B90" s="25" t="s">
        <v>94</v>
      </c>
      <c r="C90" s="10">
        <v>86</v>
      </c>
      <c r="D90" s="7">
        <v>30</v>
      </c>
      <c r="E90" s="7">
        <v>121</v>
      </c>
      <c r="F90" s="22">
        <v>93</v>
      </c>
    </row>
    <row r="91" spans="2:6" x14ac:dyDescent="0.45">
      <c r="B91" s="26" t="s">
        <v>24</v>
      </c>
      <c r="C91" s="10">
        <v>87</v>
      </c>
      <c r="D91" s="6">
        <v>81</v>
      </c>
      <c r="E91" s="6">
        <v>106</v>
      </c>
      <c r="F91" s="23">
        <v>72</v>
      </c>
    </row>
    <row r="92" spans="2:6" x14ac:dyDescent="0.45">
      <c r="B92" s="25" t="s">
        <v>122</v>
      </c>
      <c r="C92" s="10">
        <v>88</v>
      </c>
      <c r="D92" s="7">
        <v>97</v>
      </c>
      <c r="E92" s="7">
        <v>84</v>
      </c>
      <c r="F92" s="22">
        <v>75</v>
      </c>
    </row>
    <row r="93" spans="2:6" x14ac:dyDescent="0.45">
      <c r="B93" s="26" t="s">
        <v>113</v>
      </c>
      <c r="C93" s="10">
        <v>89</v>
      </c>
      <c r="D93" s="6">
        <v>88</v>
      </c>
      <c r="E93" s="6">
        <v>46</v>
      </c>
      <c r="F93" s="23">
        <v>110</v>
      </c>
    </row>
    <row r="94" spans="2:6" x14ac:dyDescent="0.45">
      <c r="B94" s="25" t="s">
        <v>101</v>
      </c>
      <c r="C94" s="10">
        <v>90</v>
      </c>
      <c r="D94" s="7">
        <v>93</v>
      </c>
      <c r="E94" s="7">
        <v>88</v>
      </c>
      <c r="F94" s="22">
        <v>84</v>
      </c>
    </row>
    <row r="95" spans="2:6" x14ac:dyDescent="0.45">
      <c r="B95" s="26" t="s">
        <v>80</v>
      </c>
      <c r="C95" s="10">
        <v>91</v>
      </c>
      <c r="D95" s="6">
        <v>31</v>
      </c>
      <c r="E95" s="6">
        <v>124</v>
      </c>
      <c r="F95" s="23">
        <v>96</v>
      </c>
    </row>
    <row r="96" spans="2:6" x14ac:dyDescent="0.45">
      <c r="B96" s="25" t="s">
        <v>46</v>
      </c>
      <c r="C96" s="10">
        <v>92</v>
      </c>
      <c r="D96" s="7">
        <v>107</v>
      </c>
      <c r="E96" s="7">
        <v>104</v>
      </c>
      <c r="F96" s="22">
        <v>43</v>
      </c>
    </row>
    <row r="97" spans="2:6" x14ac:dyDescent="0.45">
      <c r="B97" s="26" t="s">
        <v>110</v>
      </c>
      <c r="C97" s="10">
        <v>93</v>
      </c>
      <c r="D97" s="6">
        <v>91</v>
      </c>
      <c r="E97" s="6">
        <v>122</v>
      </c>
      <c r="F97" s="23">
        <v>65</v>
      </c>
    </row>
    <row r="98" spans="2:6" x14ac:dyDescent="0.45">
      <c r="B98" s="25" t="s">
        <v>109</v>
      </c>
      <c r="C98" s="10">
        <v>94</v>
      </c>
      <c r="D98" s="7">
        <v>71</v>
      </c>
      <c r="E98" s="7">
        <v>114</v>
      </c>
      <c r="F98" s="22">
        <v>97</v>
      </c>
    </row>
    <row r="99" spans="2:6" x14ac:dyDescent="0.45">
      <c r="B99" s="26" t="s">
        <v>93</v>
      </c>
      <c r="C99" s="10">
        <v>95</v>
      </c>
      <c r="D99" s="6">
        <v>111</v>
      </c>
      <c r="E99" s="6">
        <v>65</v>
      </c>
      <c r="F99" s="23">
        <v>80</v>
      </c>
    </row>
    <row r="100" spans="2:6" x14ac:dyDescent="0.45">
      <c r="B100" s="25" t="s">
        <v>400</v>
      </c>
      <c r="C100" s="10">
        <v>96</v>
      </c>
      <c r="D100" s="7">
        <v>106</v>
      </c>
      <c r="E100" s="7">
        <v>118</v>
      </c>
      <c r="F100" s="22">
        <v>53</v>
      </c>
    </row>
    <row r="101" spans="2:6" x14ac:dyDescent="0.45">
      <c r="B101" s="26" t="s">
        <v>119</v>
      </c>
      <c r="C101" s="10">
        <v>97</v>
      </c>
      <c r="D101" s="6">
        <v>89</v>
      </c>
      <c r="E101" s="6">
        <v>68</v>
      </c>
      <c r="F101" s="23">
        <v>114</v>
      </c>
    </row>
    <row r="102" spans="2:6" x14ac:dyDescent="0.45">
      <c r="B102" s="25" t="s">
        <v>388</v>
      </c>
      <c r="C102" s="10">
        <v>98</v>
      </c>
      <c r="D102" s="7">
        <v>95</v>
      </c>
      <c r="E102" s="7">
        <v>127</v>
      </c>
      <c r="F102" s="22">
        <v>66</v>
      </c>
    </row>
    <row r="103" spans="2:6" x14ac:dyDescent="0.45">
      <c r="B103" s="26" t="s">
        <v>115</v>
      </c>
      <c r="C103" s="10">
        <v>99</v>
      </c>
      <c r="D103" s="6">
        <v>57</v>
      </c>
      <c r="E103" s="6">
        <v>116</v>
      </c>
      <c r="F103" s="23">
        <v>109</v>
      </c>
    </row>
    <row r="104" spans="2:6" x14ac:dyDescent="0.45">
      <c r="B104" s="25" t="s">
        <v>385</v>
      </c>
      <c r="C104" s="10">
        <v>100</v>
      </c>
      <c r="D104" s="7">
        <v>90</v>
      </c>
      <c r="E104" s="7">
        <v>96</v>
      </c>
      <c r="F104" s="22">
        <v>102</v>
      </c>
    </row>
    <row r="105" spans="2:6" x14ac:dyDescent="0.45">
      <c r="B105" s="26" t="s">
        <v>112</v>
      </c>
      <c r="C105" s="10">
        <v>101</v>
      </c>
      <c r="D105" s="6">
        <v>101</v>
      </c>
      <c r="E105" s="6">
        <v>91</v>
      </c>
      <c r="F105" s="23">
        <v>95</v>
      </c>
    </row>
    <row r="106" spans="2:6" x14ac:dyDescent="0.45">
      <c r="B106" s="25" t="s">
        <v>96</v>
      </c>
      <c r="C106" s="10">
        <v>102</v>
      </c>
      <c r="D106" s="7">
        <v>76</v>
      </c>
      <c r="E106" s="7">
        <v>108</v>
      </c>
      <c r="F106" s="22">
        <v>108</v>
      </c>
    </row>
    <row r="107" spans="2:6" x14ac:dyDescent="0.45">
      <c r="B107" s="26" t="s">
        <v>130</v>
      </c>
      <c r="C107" s="10">
        <v>103</v>
      </c>
      <c r="D107" s="6">
        <v>100</v>
      </c>
      <c r="E107" s="6">
        <v>95</v>
      </c>
      <c r="F107" s="23">
        <v>94</v>
      </c>
    </row>
    <row r="108" spans="2:6" x14ac:dyDescent="0.45">
      <c r="B108" s="25" t="s">
        <v>120</v>
      </c>
      <c r="C108" s="10">
        <v>104</v>
      </c>
      <c r="D108" s="7">
        <v>64</v>
      </c>
      <c r="E108" s="7">
        <v>107</v>
      </c>
      <c r="F108" s="22">
        <v>118</v>
      </c>
    </row>
    <row r="109" spans="2:6" x14ac:dyDescent="0.45">
      <c r="B109" s="26" t="s">
        <v>390</v>
      </c>
      <c r="C109" s="10">
        <v>105</v>
      </c>
      <c r="D109" s="6">
        <v>113</v>
      </c>
      <c r="E109" s="6">
        <v>80</v>
      </c>
      <c r="F109" s="23">
        <v>88</v>
      </c>
    </row>
    <row r="110" spans="2:6" x14ac:dyDescent="0.45">
      <c r="B110" s="25" t="s">
        <v>121</v>
      </c>
      <c r="C110" s="10">
        <v>106</v>
      </c>
      <c r="D110" s="7">
        <v>109</v>
      </c>
      <c r="E110" s="7">
        <v>62</v>
      </c>
      <c r="F110" s="22">
        <v>113</v>
      </c>
    </row>
    <row r="111" spans="2:6" x14ac:dyDescent="0.45">
      <c r="B111" s="26" t="s">
        <v>102</v>
      </c>
      <c r="C111" s="10">
        <v>107</v>
      </c>
      <c r="D111" s="6">
        <v>110</v>
      </c>
      <c r="E111" s="6">
        <v>74</v>
      </c>
      <c r="F111" s="23">
        <v>105</v>
      </c>
    </row>
    <row r="112" spans="2:6" x14ac:dyDescent="0.45">
      <c r="B112" s="25" t="s">
        <v>118</v>
      </c>
      <c r="C112" s="10">
        <v>108</v>
      </c>
      <c r="D112" s="7">
        <v>98</v>
      </c>
      <c r="E112" s="7">
        <v>81</v>
      </c>
      <c r="F112" s="22">
        <v>120</v>
      </c>
    </row>
    <row r="113" spans="2:6" x14ac:dyDescent="0.45">
      <c r="B113" s="26" t="s">
        <v>116</v>
      </c>
      <c r="C113" s="10">
        <v>109</v>
      </c>
      <c r="D113" s="6">
        <v>105</v>
      </c>
      <c r="E113" s="6">
        <v>92</v>
      </c>
      <c r="F113" s="23">
        <v>103</v>
      </c>
    </row>
    <row r="114" spans="2:6" x14ac:dyDescent="0.45">
      <c r="B114" s="25" t="s">
        <v>87</v>
      </c>
      <c r="C114" s="10">
        <v>110</v>
      </c>
      <c r="D114" s="7">
        <v>114</v>
      </c>
      <c r="E114" s="7">
        <v>119</v>
      </c>
      <c r="F114" s="22">
        <v>79</v>
      </c>
    </row>
    <row r="115" spans="2:6" x14ac:dyDescent="0.45">
      <c r="B115" s="26" t="s">
        <v>597</v>
      </c>
      <c r="C115" s="10">
        <v>111</v>
      </c>
      <c r="D115" s="6">
        <v>84</v>
      </c>
      <c r="E115" s="6">
        <v>117</v>
      </c>
      <c r="F115" s="23">
        <v>117</v>
      </c>
    </row>
    <row r="116" spans="2:6" x14ac:dyDescent="0.45">
      <c r="B116" s="25" t="s">
        <v>124</v>
      </c>
      <c r="C116" s="10">
        <v>112</v>
      </c>
      <c r="D116" s="7">
        <v>108</v>
      </c>
      <c r="E116" s="7">
        <v>86</v>
      </c>
      <c r="F116" s="22">
        <v>107</v>
      </c>
    </row>
    <row r="117" spans="2:6" x14ac:dyDescent="0.45">
      <c r="B117" s="26" t="s">
        <v>123</v>
      </c>
      <c r="C117" s="10">
        <v>113</v>
      </c>
      <c r="D117" s="6">
        <v>115</v>
      </c>
      <c r="E117" s="6">
        <v>105</v>
      </c>
      <c r="F117" s="23">
        <v>91</v>
      </c>
    </row>
    <row r="118" spans="2:6" x14ac:dyDescent="0.45">
      <c r="B118" s="25" t="s">
        <v>117</v>
      </c>
      <c r="C118" s="10">
        <v>114</v>
      </c>
      <c r="D118" s="7">
        <v>104</v>
      </c>
      <c r="E118" s="7">
        <v>112</v>
      </c>
      <c r="F118" s="22">
        <v>101</v>
      </c>
    </row>
    <row r="119" spans="2:6" x14ac:dyDescent="0.45">
      <c r="B119" s="26" t="s">
        <v>128</v>
      </c>
      <c r="C119" s="10">
        <v>115</v>
      </c>
      <c r="D119" s="6">
        <v>116</v>
      </c>
      <c r="E119" s="6">
        <v>100</v>
      </c>
      <c r="F119" s="23">
        <v>100</v>
      </c>
    </row>
    <row r="120" spans="2:6" x14ac:dyDescent="0.45">
      <c r="B120" s="25" t="s">
        <v>125</v>
      </c>
      <c r="C120" s="10">
        <v>116</v>
      </c>
      <c r="D120" s="7">
        <v>118</v>
      </c>
      <c r="E120" s="7">
        <v>111</v>
      </c>
      <c r="F120" s="22">
        <v>92</v>
      </c>
    </row>
    <row r="121" spans="2:6" x14ac:dyDescent="0.45">
      <c r="B121" s="26" t="s">
        <v>403</v>
      </c>
      <c r="C121" s="10">
        <v>117</v>
      </c>
      <c r="D121" s="6">
        <v>120</v>
      </c>
      <c r="E121" s="6">
        <v>94</v>
      </c>
      <c r="F121" s="23">
        <v>99</v>
      </c>
    </row>
    <row r="122" spans="2:6" x14ac:dyDescent="0.45">
      <c r="B122" s="25" t="s">
        <v>114</v>
      </c>
      <c r="C122" s="10">
        <v>118</v>
      </c>
      <c r="D122" s="7">
        <v>117</v>
      </c>
      <c r="E122" s="7">
        <v>97</v>
      </c>
      <c r="F122" s="22">
        <v>115</v>
      </c>
    </row>
    <row r="123" spans="2:6" x14ac:dyDescent="0.45">
      <c r="B123" s="26" t="s">
        <v>131</v>
      </c>
      <c r="C123" s="10">
        <v>119</v>
      </c>
      <c r="D123" s="6">
        <v>112</v>
      </c>
      <c r="E123" s="6">
        <v>101</v>
      </c>
      <c r="F123" s="23">
        <v>122</v>
      </c>
    </row>
    <row r="124" spans="2:6" x14ac:dyDescent="0.45">
      <c r="B124" s="25" t="s">
        <v>129</v>
      </c>
      <c r="C124" s="10">
        <v>120</v>
      </c>
      <c r="D124" s="7">
        <v>119</v>
      </c>
      <c r="E124" s="7">
        <v>115</v>
      </c>
      <c r="F124" s="22">
        <v>121</v>
      </c>
    </row>
    <row r="125" spans="2:6" x14ac:dyDescent="0.45">
      <c r="B125" s="26" t="s">
        <v>134</v>
      </c>
      <c r="C125" s="10">
        <v>121</v>
      </c>
      <c r="D125" s="6">
        <v>123</v>
      </c>
      <c r="E125" s="6">
        <v>102</v>
      </c>
      <c r="F125" s="23">
        <v>123</v>
      </c>
    </row>
    <row r="126" spans="2:6" x14ac:dyDescent="0.45">
      <c r="B126" s="25" t="s">
        <v>132</v>
      </c>
      <c r="C126" s="10">
        <v>122</v>
      </c>
      <c r="D126" s="7">
        <v>124</v>
      </c>
      <c r="E126" s="7">
        <v>89</v>
      </c>
      <c r="F126" s="22">
        <v>124</v>
      </c>
    </row>
    <row r="127" spans="2:6" x14ac:dyDescent="0.45">
      <c r="B127" s="26" t="s">
        <v>127</v>
      </c>
      <c r="C127" s="10">
        <v>123</v>
      </c>
      <c r="D127" s="6">
        <v>126</v>
      </c>
      <c r="E127" s="6">
        <v>125</v>
      </c>
      <c r="F127" s="23">
        <v>111</v>
      </c>
    </row>
    <row r="128" spans="2:6" x14ac:dyDescent="0.45">
      <c r="B128" s="25" t="s">
        <v>133</v>
      </c>
      <c r="C128" s="10">
        <v>124</v>
      </c>
      <c r="D128" s="7">
        <v>125</v>
      </c>
      <c r="E128" s="7">
        <v>99</v>
      </c>
      <c r="F128" s="22">
        <v>126</v>
      </c>
    </row>
    <row r="129" spans="2:6" x14ac:dyDescent="0.45">
      <c r="B129" s="26" t="s">
        <v>598</v>
      </c>
      <c r="C129" s="10">
        <v>125</v>
      </c>
      <c r="D129" s="6">
        <v>121</v>
      </c>
      <c r="E129" s="6">
        <v>98</v>
      </c>
      <c r="F129" s="23">
        <v>127</v>
      </c>
    </row>
    <row r="130" spans="2:6" x14ac:dyDescent="0.45">
      <c r="B130" s="25" t="s">
        <v>135</v>
      </c>
      <c r="C130" s="10">
        <v>126</v>
      </c>
      <c r="D130" s="7">
        <v>122</v>
      </c>
      <c r="E130" s="7">
        <v>126</v>
      </c>
      <c r="F130" s="22">
        <v>125</v>
      </c>
    </row>
    <row r="131" spans="2:6" x14ac:dyDescent="0.45">
      <c r="B131" s="96" t="s">
        <v>126</v>
      </c>
      <c r="C131" s="97">
        <v>127</v>
      </c>
      <c r="D131" s="98">
        <v>127</v>
      </c>
      <c r="E131" s="98">
        <v>120</v>
      </c>
      <c r="F131" s="99">
        <v>119</v>
      </c>
    </row>
    <row r="132" spans="2:6" x14ac:dyDescent="0.45">
      <c r="B132" t="s">
        <v>887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B1:F132"/>
  <sheetViews>
    <sheetView workbookViewId="0">
      <selection activeCell="C3" sqref="C3"/>
    </sheetView>
  </sheetViews>
  <sheetFormatPr defaultRowHeight="14.25" x14ac:dyDescent="0.45"/>
  <cols>
    <col min="1" max="1" width="9.06640625" customWidth="1"/>
    <col min="2" max="2" width="18.86328125" customWidth="1"/>
  </cols>
  <sheetData>
    <row r="1" spans="2:6" x14ac:dyDescent="0.45">
      <c r="B1" t="s">
        <v>7</v>
      </c>
      <c r="C1" t="s">
        <v>639</v>
      </c>
      <c r="D1" t="s">
        <v>647</v>
      </c>
      <c r="E1" t="s">
        <v>648</v>
      </c>
      <c r="F1" t="s">
        <v>649</v>
      </c>
    </row>
    <row r="2" spans="2:6" x14ac:dyDescent="0.45">
      <c r="B2" t="s">
        <v>898</v>
      </c>
      <c r="D2" s="84"/>
      <c r="E2" s="84"/>
      <c r="F2" s="84"/>
    </row>
    <row r="3" spans="2:6" x14ac:dyDescent="0.45">
      <c r="B3" s="81"/>
      <c r="C3" s="8" t="s">
        <v>278</v>
      </c>
      <c r="D3" s="82" t="s">
        <v>277</v>
      </c>
      <c r="E3" s="82"/>
      <c r="F3" s="83"/>
    </row>
    <row r="4" spans="2:6" ht="56.65" x14ac:dyDescent="0.45">
      <c r="B4" s="77" t="s">
        <v>7</v>
      </c>
      <c r="C4" s="78" t="s">
        <v>3</v>
      </c>
      <c r="D4" s="79" t="s">
        <v>271</v>
      </c>
      <c r="E4" s="79" t="s">
        <v>272</v>
      </c>
      <c r="F4" s="80" t="s">
        <v>273</v>
      </c>
    </row>
    <row r="5" spans="2:6" x14ac:dyDescent="0.45">
      <c r="B5" s="24" t="s">
        <v>12</v>
      </c>
      <c r="C5" s="11">
        <v>1</v>
      </c>
      <c r="D5" s="5">
        <v>1</v>
      </c>
      <c r="E5" s="5">
        <v>8</v>
      </c>
      <c r="F5" s="21">
        <v>2</v>
      </c>
    </row>
    <row r="6" spans="2:6" x14ac:dyDescent="0.45">
      <c r="B6" s="25" t="s">
        <v>17</v>
      </c>
      <c r="C6" s="10">
        <v>2</v>
      </c>
      <c r="D6" s="7">
        <v>4</v>
      </c>
      <c r="E6" s="7">
        <v>2</v>
      </c>
      <c r="F6" s="22">
        <v>13</v>
      </c>
    </row>
    <row r="7" spans="2:6" x14ac:dyDescent="0.45">
      <c r="B7" s="24" t="s">
        <v>9</v>
      </c>
      <c r="C7" s="11">
        <v>3</v>
      </c>
      <c r="D7" s="5">
        <v>2</v>
      </c>
      <c r="E7" s="5">
        <v>4</v>
      </c>
      <c r="F7" s="21">
        <v>11</v>
      </c>
    </row>
    <row r="8" spans="2:6" x14ac:dyDescent="0.45">
      <c r="B8" s="25" t="s">
        <v>13</v>
      </c>
      <c r="C8" s="10">
        <v>4</v>
      </c>
      <c r="D8" s="7">
        <v>6</v>
      </c>
      <c r="E8" s="7">
        <v>3</v>
      </c>
      <c r="F8" s="22">
        <v>17</v>
      </c>
    </row>
    <row r="9" spans="2:6" x14ac:dyDescent="0.45">
      <c r="B9" s="24" t="s">
        <v>57</v>
      </c>
      <c r="C9" s="11">
        <v>5</v>
      </c>
      <c r="D9" s="5">
        <v>10</v>
      </c>
      <c r="E9" s="5">
        <v>10</v>
      </c>
      <c r="F9" s="21">
        <v>3</v>
      </c>
    </row>
    <row r="10" spans="2:6" x14ac:dyDescent="0.45">
      <c r="B10" s="25" t="s">
        <v>16</v>
      </c>
      <c r="C10" s="10">
        <v>6</v>
      </c>
      <c r="D10" s="7">
        <v>16</v>
      </c>
      <c r="E10" s="7">
        <v>14</v>
      </c>
      <c r="F10" s="22">
        <v>5</v>
      </c>
    </row>
    <row r="11" spans="2:6" x14ac:dyDescent="0.45">
      <c r="B11" s="24" t="s">
        <v>53</v>
      </c>
      <c r="C11" s="11">
        <v>7</v>
      </c>
      <c r="D11" s="5">
        <v>5</v>
      </c>
      <c r="E11" s="5">
        <v>1</v>
      </c>
      <c r="F11" s="21">
        <v>39</v>
      </c>
    </row>
    <row r="12" spans="2:6" x14ac:dyDescent="0.45">
      <c r="B12" s="25" t="s">
        <v>11</v>
      </c>
      <c r="C12" s="10">
        <v>8</v>
      </c>
      <c r="D12" s="7">
        <v>7</v>
      </c>
      <c r="E12" s="7">
        <v>5</v>
      </c>
      <c r="F12" s="22">
        <v>24</v>
      </c>
    </row>
    <row r="13" spans="2:6" x14ac:dyDescent="0.45">
      <c r="B13" s="24" t="s">
        <v>281</v>
      </c>
      <c r="C13" s="11">
        <v>9</v>
      </c>
      <c r="D13" s="5">
        <v>3</v>
      </c>
      <c r="E13" s="5">
        <v>18</v>
      </c>
      <c r="F13" s="21">
        <v>12</v>
      </c>
    </row>
    <row r="14" spans="2:6" x14ac:dyDescent="0.45">
      <c r="B14" s="25" t="s">
        <v>30</v>
      </c>
      <c r="C14" s="10">
        <v>10</v>
      </c>
      <c r="D14" s="7">
        <v>9</v>
      </c>
      <c r="E14" s="7">
        <v>11</v>
      </c>
      <c r="F14" s="22">
        <v>18</v>
      </c>
    </row>
    <row r="15" spans="2:6" x14ac:dyDescent="0.45">
      <c r="B15" s="24" t="s">
        <v>56</v>
      </c>
      <c r="C15" s="11">
        <v>11</v>
      </c>
      <c r="D15" s="5">
        <v>28</v>
      </c>
      <c r="E15" s="5">
        <v>17</v>
      </c>
      <c r="F15" s="21">
        <v>1</v>
      </c>
    </row>
    <row r="16" spans="2:6" x14ac:dyDescent="0.45">
      <c r="B16" s="25" t="s">
        <v>60</v>
      </c>
      <c r="C16" s="10">
        <v>12</v>
      </c>
      <c r="D16" s="7">
        <v>8</v>
      </c>
      <c r="E16" s="7">
        <v>28</v>
      </c>
      <c r="F16" s="22">
        <v>4</v>
      </c>
    </row>
    <row r="17" spans="2:6" x14ac:dyDescent="0.45">
      <c r="B17" s="24" t="s">
        <v>18</v>
      </c>
      <c r="C17" s="11">
        <v>13</v>
      </c>
      <c r="D17" s="5">
        <v>14</v>
      </c>
      <c r="E17" s="5">
        <v>24</v>
      </c>
      <c r="F17" s="21">
        <v>6</v>
      </c>
    </row>
    <row r="18" spans="2:6" x14ac:dyDescent="0.45">
      <c r="B18" s="25" t="s">
        <v>55</v>
      </c>
      <c r="C18" s="10">
        <v>14</v>
      </c>
      <c r="D18" s="7">
        <v>11</v>
      </c>
      <c r="E18" s="7">
        <v>21</v>
      </c>
      <c r="F18" s="22">
        <v>8</v>
      </c>
    </row>
    <row r="19" spans="2:6" x14ac:dyDescent="0.45">
      <c r="B19" s="24" t="s">
        <v>15</v>
      </c>
      <c r="C19" s="11">
        <v>15</v>
      </c>
      <c r="D19" s="5">
        <v>12</v>
      </c>
      <c r="E19" s="5">
        <v>19</v>
      </c>
      <c r="F19" s="21">
        <v>9</v>
      </c>
    </row>
    <row r="20" spans="2:6" x14ac:dyDescent="0.45">
      <c r="B20" s="25" t="s">
        <v>64</v>
      </c>
      <c r="C20" s="10">
        <v>16</v>
      </c>
      <c r="D20" s="7">
        <v>31</v>
      </c>
      <c r="E20" s="7">
        <v>7</v>
      </c>
      <c r="F20" s="22">
        <v>14</v>
      </c>
    </row>
    <row r="21" spans="2:6" x14ac:dyDescent="0.45">
      <c r="B21" s="24" t="s">
        <v>14</v>
      </c>
      <c r="C21" s="11">
        <v>17</v>
      </c>
      <c r="D21" s="5">
        <v>30</v>
      </c>
      <c r="E21" s="5">
        <v>6</v>
      </c>
      <c r="F21" s="21">
        <v>19</v>
      </c>
    </row>
    <row r="22" spans="2:6" x14ac:dyDescent="0.45">
      <c r="B22" s="25" t="s">
        <v>35</v>
      </c>
      <c r="C22" s="10">
        <v>18</v>
      </c>
      <c r="D22" s="7">
        <v>18</v>
      </c>
      <c r="E22" s="7">
        <v>23</v>
      </c>
      <c r="F22" s="22">
        <v>10</v>
      </c>
    </row>
    <row r="23" spans="2:6" x14ac:dyDescent="0.45">
      <c r="B23" s="24" t="s">
        <v>51</v>
      </c>
      <c r="C23" s="11">
        <v>19</v>
      </c>
      <c r="D23" s="5">
        <v>27</v>
      </c>
      <c r="E23" s="5">
        <v>13</v>
      </c>
      <c r="F23" s="21">
        <v>23</v>
      </c>
    </row>
    <row r="24" spans="2:6" x14ac:dyDescent="0.45">
      <c r="B24" s="25" t="s">
        <v>282</v>
      </c>
      <c r="C24" s="10">
        <v>20</v>
      </c>
      <c r="D24" s="7">
        <v>13</v>
      </c>
      <c r="E24" s="7">
        <v>38</v>
      </c>
      <c r="F24" s="22">
        <v>7</v>
      </c>
    </row>
    <row r="25" spans="2:6" x14ac:dyDescent="0.45">
      <c r="B25" s="24" t="s">
        <v>50</v>
      </c>
      <c r="C25" s="11">
        <v>21</v>
      </c>
      <c r="D25" s="5">
        <v>25</v>
      </c>
      <c r="E25" s="5">
        <v>15</v>
      </c>
      <c r="F25" s="21">
        <v>22</v>
      </c>
    </row>
    <row r="26" spans="2:6" x14ac:dyDescent="0.45">
      <c r="B26" s="25" t="s">
        <v>59</v>
      </c>
      <c r="C26" s="10">
        <v>22</v>
      </c>
      <c r="D26" s="7">
        <v>23</v>
      </c>
      <c r="E26" s="7">
        <v>22</v>
      </c>
      <c r="F26" s="22">
        <v>16</v>
      </c>
    </row>
    <row r="27" spans="2:6" x14ac:dyDescent="0.45">
      <c r="B27" s="24" t="s">
        <v>54</v>
      </c>
      <c r="C27" s="11">
        <v>23</v>
      </c>
      <c r="D27" s="5">
        <v>17</v>
      </c>
      <c r="E27" s="5">
        <v>9</v>
      </c>
      <c r="F27" s="21">
        <v>53</v>
      </c>
    </row>
    <row r="28" spans="2:6" x14ac:dyDescent="0.45">
      <c r="B28" s="25" t="s">
        <v>52</v>
      </c>
      <c r="C28" s="10">
        <v>24</v>
      </c>
      <c r="D28" s="7">
        <v>33</v>
      </c>
      <c r="E28" s="7">
        <v>25</v>
      </c>
      <c r="F28" s="22">
        <v>15</v>
      </c>
    </row>
    <row r="29" spans="2:6" x14ac:dyDescent="0.45">
      <c r="B29" s="24" t="s">
        <v>311</v>
      </c>
      <c r="C29" s="11">
        <v>25</v>
      </c>
      <c r="D29" s="5">
        <v>15</v>
      </c>
      <c r="E29" s="5">
        <v>26</v>
      </c>
      <c r="F29" s="21">
        <v>46</v>
      </c>
    </row>
    <row r="30" spans="2:6" x14ac:dyDescent="0.45">
      <c r="B30" s="25" t="s">
        <v>68</v>
      </c>
      <c r="C30" s="10">
        <v>26</v>
      </c>
      <c r="D30" s="7">
        <v>38</v>
      </c>
      <c r="E30" s="7">
        <v>16</v>
      </c>
      <c r="F30" s="22">
        <v>25</v>
      </c>
    </row>
    <row r="31" spans="2:6" x14ac:dyDescent="0.45">
      <c r="B31" s="24" t="s">
        <v>61</v>
      </c>
      <c r="C31" s="11">
        <v>27</v>
      </c>
      <c r="D31" s="5">
        <v>24</v>
      </c>
      <c r="E31" s="5">
        <v>31</v>
      </c>
      <c r="F31" s="21">
        <v>29</v>
      </c>
    </row>
    <row r="32" spans="2:6" x14ac:dyDescent="0.45">
      <c r="B32" s="25" t="s">
        <v>63</v>
      </c>
      <c r="C32" s="10">
        <v>28</v>
      </c>
      <c r="D32" s="7">
        <v>26</v>
      </c>
      <c r="E32" s="7">
        <v>20</v>
      </c>
      <c r="F32" s="22">
        <v>45</v>
      </c>
    </row>
    <row r="33" spans="2:6" x14ac:dyDescent="0.45">
      <c r="B33" s="24" t="s">
        <v>65</v>
      </c>
      <c r="C33" s="11">
        <v>29</v>
      </c>
      <c r="D33" s="5">
        <v>37</v>
      </c>
      <c r="E33" s="5">
        <v>12</v>
      </c>
      <c r="F33" s="21">
        <v>50</v>
      </c>
    </row>
    <row r="34" spans="2:6" x14ac:dyDescent="0.45">
      <c r="B34" s="25" t="s">
        <v>77</v>
      </c>
      <c r="C34" s="10">
        <v>30</v>
      </c>
      <c r="D34" s="7">
        <v>20</v>
      </c>
      <c r="E34" s="7">
        <v>37</v>
      </c>
      <c r="F34" s="22">
        <v>34</v>
      </c>
    </row>
    <row r="35" spans="2:6" x14ac:dyDescent="0.45">
      <c r="B35" s="24" t="s">
        <v>27</v>
      </c>
      <c r="C35" s="11">
        <v>31</v>
      </c>
      <c r="D35" s="5">
        <v>47</v>
      </c>
      <c r="E35" s="5">
        <v>30</v>
      </c>
      <c r="F35" s="21">
        <v>20</v>
      </c>
    </row>
    <row r="36" spans="2:6" x14ac:dyDescent="0.45">
      <c r="B36" s="25" t="s">
        <v>67</v>
      </c>
      <c r="C36" s="10">
        <v>32</v>
      </c>
      <c r="D36" s="7">
        <v>19</v>
      </c>
      <c r="E36" s="7">
        <v>42</v>
      </c>
      <c r="F36" s="22">
        <v>49</v>
      </c>
    </row>
    <row r="37" spans="2:6" x14ac:dyDescent="0.45">
      <c r="B37" s="24" t="s">
        <v>62</v>
      </c>
      <c r="C37" s="11">
        <v>33</v>
      </c>
      <c r="D37" s="5">
        <v>45</v>
      </c>
      <c r="E37" s="5">
        <v>27</v>
      </c>
      <c r="F37" s="21">
        <v>33</v>
      </c>
    </row>
    <row r="38" spans="2:6" x14ac:dyDescent="0.45">
      <c r="B38" s="25" t="s">
        <v>66</v>
      </c>
      <c r="C38" s="10">
        <v>34</v>
      </c>
      <c r="D38" s="7">
        <v>34</v>
      </c>
      <c r="E38" s="7">
        <v>45</v>
      </c>
      <c r="F38" s="22">
        <v>36</v>
      </c>
    </row>
    <row r="39" spans="2:6" x14ac:dyDescent="0.45">
      <c r="B39" s="24" t="s">
        <v>71</v>
      </c>
      <c r="C39" s="11">
        <v>35</v>
      </c>
      <c r="D39" s="5">
        <v>46</v>
      </c>
      <c r="E39" s="5">
        <v>34</v>
      </c>
      <c r="F39" s="21">
        <v>30</v>
      </c>
    </row>
    <row r="40" spans="2:6" x14ac:dyDescent="0.45">
      <c r="B40" s="25" t="s">
        <v>315</v>
      </c>
      <c r="C40" s="10">
        <v>36</v>
      </c>
      <c r="D40" s="7">
        <v>22</v>
      </c>
      <c r="E40" s="7">
        <v>59</v>
      </c>
      <c r="F40" s="22">
        <v>41</v>
      </c>
    </row>
    <row r="41" spans="2:6" x14ac:dyDescent="0.45">
      <c r="B41" s="24" t="s">
        <v>70</v>
      </c>
      <c r="C41" s="11">
        <v>37</v>
      </c>
      <c r="D41" s="5">
        <v>21</v>
      </c>
      <c r="E41" s="5">
        <v>65</v>
      </c>
      <c r="F41" s="21">
        <v>44</v>
      </c>
    </row>
    <row r="42" spans="2:6" x14ac:dyDescent="0.45">
      <c r="B42" s="25" t="s">
        <v>58</v>
      </c>
      <c r="C42" s="10">
        <v>38</v>
      </c>
      <c r="D42" s="7">
        <v>40</v>
      </c>
      <c r="E42" s="7">
        <v>35</v>
      </c>
      <c r="F42" s="22">
        <v>52</v>
      </c>
    </row>
    <row r="43" spans="2:6" x14ac:dyDescent="0.45">
      <c r="B43" s="24" t="s">
        <v>72</v>
      </c>
      <c r="C43" s="11">
        <v>39</v>
      </c>
      <c r="D43" s="5">
        <v>29</v>
      </c>
      <c r="E43" s="5">
        <v>54</v>
      </c>
      <c r="F43" s="21">
        <v>51</v>
      </c>
    </row>
    <row r="44" spans="2:6" x14ac:dyDescent="0.45">
      <c r="B44" s="25" t="s">
        <v>69</v>
      </c>
      <c r="C44" s="10">
        <v>40</v>
      </c>
      <c r="D44" s="7">
        <v>35</v>
      </c>
      <c r="E44" s="7">
        <v>39</v>
      </c>
      <c r="F44" s="22">
        <v>58</v>
      </c>
    </row>
    <row r="45" spans="2:6" x14ac:dyDescent="0.45">
      <c r="B45" s="24" t="s">
        <v>78</v>
      </c>
      <c r="C45" s="11">
        <v>41</v>
      </c>
      <c r="D45" s="5">
        <v>52</v>
      </c>
      <c r="E45" s="5">
        <v>43</v>
      </c>
      <c r="F45" s="21">
        <v>40</v>
      </c>
    </row>
    <row r="46" spans="2:6" x14ac:dyDescent="0.45">
      <c r="B46" s="25" t="s">
        <v>26</v>
      </c>
      <c r="C46" s="10">
        <v>42</v>
      </c>
      <c r="D46" s="7">
        <v>55</v>
      </c>
      <c r="E46" s="7">
        <v>50</v>
      </c>
      <c r="F46" s="22">
        <v>28</v>
      </c>
    </row>
    <row r="47" spans="2:6" x14ac:dyDescent="0.45">
      <c r="B47" s="24" t="s">
        <v>36</v>
      </c>
      <c r="C47" s="11">
        <v>43</v>
      </c>
      <c r="D47" s="5">
        <v>56</v>
      </c>
      <c r="E47" s="5">
        <v>40</v>
      </c>
      <c r="F47" s="21">
        <v>43</v>
      </c>
    </row>
    <row r="48" spans="2:6" x14ac:dyDescent="0.45">
      <c r="B48" s="25" t="s">
        <v>42</v>
      </c>
      <c r="C48" s="10">
        <v>44</v>
      </c>
      <c r="D48" s="7">
        <v>44</v>
      </c>
      <c r="E48" s="7">
        <v>46</v>
      </c>
      <c r="F48" s="22">
        <v>56</v>
      </c>
    </row>
    <row r="49" spans="2:6" x14ac:dyDescent="0.45">
      <c r="B49" s="24" t="s">
        <v>32</v>
      </c>
      <c r="C49" s="11">
        <v>45</v>
      </c>
      <c r="D49" s="5">
        <v>48</v>
      </c>
      <c r="E49" s="5">
        <v>74</v>
      </c>
      <c r="F49" s="21">
        <v>26</v>
      </c>
    </row>
    <row r="50" spans="2:6" x14ac:dyDescent="0.45">
      <c r="B50" s="25" t="s">
        <v>79</v>
      </c>
      <c r="C50" s="10">
        <v>46</v>
      </c>
      <c r="D50" s="7">
        <v>51</v>
      </c>
      <c r="E50" s="7">
        <v>60</v>
      </c>
      <c r="F50" s="22">
        <v>35</v>
      </c>
    </row>
    <row r="51" spans="2:6" x14ac:dyDescent="0.45">
      <c r="B51" s="24" t="s">
        <v>82</v>
      </c>
      <c r="C51" s="11">
        <v>47</v>
      </c>
      <c r="D51" s="5">
        <v>53</v>
      </c>
      <c r="E51" s="5">
        <v>47</v>
      </c>
      <c r="F51" s="21">
        <v>48</v>
      </c>
    </row>
    <row r="52" spans="2:6" x14ac:dyDescent="0.45">
      <c r="B52" s="25" t="s">
        <v>76</v>
      </c>
      <c r="C52" s="10">
        <v>48</v>
      </c>
      <c r="D52" s="7">
        <v>58</v>
      </c>
      <c r="E52" s="7">
        <v>29</v>
      </c>
      <c r="F52" s="22">
        <v>59</v>
      </c>
    </row>
    <row r="53" spans="2:6" x14ac:dyDescent="0.45">
      <c r="B53" s="24" t="s">
        <v>81</v>
      </c>
      <c r="C53" s="11">
        <v>49</v>
      </c>
      <c r="D53" s="5">
        <v>66</v>
      </c>
      <c r="E53" s="5">
        <v>32</v>
      </c>
      <c r="F53" s="21">
        <v>42</v>
      </c>
    </row>
    <row r="54" spans="2:6" x14ac:dyDescent="0.45">
      <c r="B54" s="25" t="s">
        <v>41</v>
      </c>
      <c r="C54" s="10">
        <v>50</v>
      </c>
      <c r="D54" s="7">
        <v>36</v>
      </c>
      <c r="E54" s="7">
        <v>106</v>
      </c>
      <c r="F54" s="22">
        <v>38</v>
      </c>
    </row>
    <row r="55" spans="2:6" x14ac:dyDescent="0.45">
      <c r="B55" s="24" t="s">
        <v>74</v>
      </c>
      <c r="C55" s="11">
        <v>51</v>
      </c>
      <c r="D55" s="5">
        <v>65</v>
      </c>
      <c r="E55" s="5">
        <v>63</v>
      </c>
      <c r="F55" s="21">
        <v>21</v>
      </c>
    </row>
    <row r="56" spans="2:6" x14ac:dyDescent="0.45">
      <c r="B56" s="25" t="s">
        <v>73</v>
      </c>
      <c r="C56" s="10">
        <v>52</v>
      </c>
      <c r="D56" s="7">
        <v>39</v>
      </c>
      <c r="E56" s="7">
        <v>51</v>
      </c>
      <c r="F56" s="22">
        <v>87</v>
      </c>
    </row>
    <row r="57" spans="2:6" x14ac:dyDescent="0.45">
      <c r="B57" s="24" t="s">
        <v>75</v>
      </c>
      <c r="C57" s="11">
        <v>53</v>
      </c>
      <c r="D57" s="5">
        <v>54</v>
      </c>
      <c r="E57" s="5">
        <v>36</v>
      </c>
      <c r="F57" s="21">
        <v>76</v>
      </c>
    </row>
    <row r="58" spans="2:6" x14ac:dyDescent="0.45">
      <c r="B58" s="25" t="s">
        <v>90</v>
      </c>
      <c r="C58" s="10">
        <v>54</v>
      </c>
      <c r="D58" s="7">
        <v>59</v>
      </c>
      <c r="E58" s="7">
        <v>33</v>
      </c>
      <c r="F58" s="22">
        <v>74</v>
      </c>
    </row>
    <row r="59" spans="2:6" x14ac:dyDescent="0.45">
      <c r="B59" s="24" t="s">
        <v>22</v>
      </c>
      <c r="C59" s="11">
        <v>55</v>
      </c>
      <c r="D59" s="5">
        <v>61</v>
      </c>
      <c r="E59" s="5">
        <v>58</v>
      </c>
      <c r="F59" s="21">
        <v>55</v>
      </c>
    </row>
    <row r="60" spans="2:6" x14ac:dyDescent="0.45">
      <c r="B60" s="25" t="s">
        <v>28</v>
      </c>
      <c r="C60" s="10">
        <v>56</v>
      </c>
      <c r="D60" s="7">
        <v>42</v>
      </c>
      <c r="E60" s="7">
        <v>64</v>
      </c>
      <c r="F60" s="22">
        <v>85</v>
      </c>
    </row>
    <row r="61" spans="2:6" x14ac:dyDescent="0.45">
      <c r="B61" s="24" t="s">
        <v>106</v>
      </c>
      <c r="C61" s="11">
        <v>57</v>
      </c>
      <c r="D61" s="5">
        <v>57</v>
      </c>
      <c r="E61" s="5">
        <v>99</v>
      </c>
      <c r="F61" s="21">
        <v>27</v>
      </c>
    </row>
    <row r="62" spans="2:6" x14ac:dyDescent="0.45">
      <c r="B62" s="25" t="s">
        <v>337</v>
      </c>
      <c r="C62" s="10">
        <v>58</v>
      </c>
      <c r="D62" s="7">
        <v>43</v>
      </c>
      <c r="E62" s="7">
        <v>72</v>
      </c>
      <c r="F62" s="22">
        <v>78</v>
      </c>
    </row>
    <row r="63" spans="2:6" x14ac:dyDescent="0.45">
      <c r="B63" s="24" t="s">
        <v>23</v>
      </c>
      <c r="C63" s="11">
        <v>59</v>
      </c>
      <c r="D63" s="5">
        <v>60</v>
      </c>
      <c r="E63" s="5">
        <v>69</v>
      </c>
      <c r="F63" s="21">
        <v>64</v>
      </c>
    </row>
    <row r="64" spans="2:6" x14ac:dyDescent="0.45">
      <c r="B64" s="25" t="s">
        <v>137</v>
      </c>
      <c r="C64" s="10">
        <v>60</v>
      </c>
      <c r="D64" s="7">
        <v>32</v>
      </c>
      <c r="E64" s="7">
        <v>92</v>
      </c>
      <c r="F64" s="22">
        <v>88</v>
      </c>
    </row>
    <row r="65" spans="2:6" x14ac:dyDescent="0.45">
      <c r="B65" s="24" t="s">
        <v>85</v>
      </c>
      <c r="C65" s="11">
        <v>61</v>
      </c>
      <c r="D65" s="5">
        <v>49</v>
      </c>
      <c r="E65" s="5">
        <v>115</v>
      </c>
      <c r="F65" s="21">
        <v>32</v>
      </c>
    </row>
    <row r="66" spans="2:6" x14ac:dyDescent="0.45">
      <c r="B66" s="25" t="s">
        <v>33</v>
      </c>
      <c r="C66" s="10">
        <v>62</v>
      </c>
      <c r="D66" s="7">
        <v>92</v>
      </c>
      <c r="E66" s="7">
        <v>62</v>
      </c>
      <c r="F66" s="22">
        <v>31</v>
      </c>
    </row>
    <row r="67" spans="2:6" x14ac:dyDescent="0.45">
      <c r="B67" s="24" t="s">
        <v>136</v>
      </c>
      <c r="C67" s="11">
        <v>63</v>
      </c>
      <c r="D67" s="5">
        <v>41</v>
      </c>
      <c r="E67" s="5">
        <v>117</v>
      </c>
      <c r="F67" s="21">
        <v>47</v>
      </c>
    </row>
    <row r="68" spans="2:6" x14ac:dyDescent="0.45">
      <c r="B68" s="25" t="s">
        <v>87</v>
      </c>
      <c r="C68" s="10">
        <v>64</v>
      </c>
      <c r="D68" s="7">
        <v>68</v>
      </c>
      <c r="E68" s="7">
        <v>49</v>
      </c>
      <c r="F68" s="22">
        <v>63</v>
      </c>
    </row>
    <row r="69" spans="2:6" x14ac:dyDescent="0.45">
      <c r="B69" s="24" t="s">
        <v>86</v>
      </c>
      <c r="C69" s="11">
        <v>65</v>
      </c>
      <c r="D69" s="5">
        <v>84</v>
      </c>
      <c r="E69" s="5">
        <v>48</v>
      </c>
      <c r="F69" s="21">
        <v>60</v>
      </c>
    </row>
    <row r="70" spans="2:6" x14ac:dyDescent="0.45">
      <c r="B70" s="25" t="s">
        <v>101</v>
      </c>
      <c r="C70" s="10">
        <v>66</v>
      </c>
      <c r="D70" s="7">
        <v>67</v>
      </c>
      <c r="E70" s="7">
        <v>57</v>
      </c>
      <c r="F70" s="22">
        <v>69</v>
      </c>
    </row>
    <row r="71" spans="2:6" x14ac:dyDescent="0.45">
      <c r="B71" s="24" t="s">
        <v>99</v>
      </c>
      <c r="C71" s="11">
        <v>67</v>
      </c>
      <c r="D71" s="5">
        <v>95</v>
      </c>
      <c r="E71" s="5">
        <v>52</v>
      </c>
      <c r="F71" s="21">
        <v>57</v>
      </c>
    </row>
    <row r="72" spans="2:6" x14ac:dyDescent="0.45">
      <c r="B72" s="25" t="s">
        <v>353</v>
      </c>
      <c r="C72" s="10">
        <v>68</v>
      </c>
      <c r="D72" s="7">
        <v>64</v>
      </c>
      <c r="E72" s="7">
        <v>44</v>
      </c>
      <c r="F72" s="22">
        <v>91</v>
      </c>
    </row>
    <row r="73" spans="2:6" x14ac:dyDescent="0.45">
      <c r="B73" s="24" t="s">
        <v>83</v>
      </c>
      <c r="C73" s="11">
        <v>69</v>
      </c>
      <c r="D73" s="5">
        <v>73</v>
      </c>
      <c r="E73" s="5">
        <v>61</v>
      </c>
      <c r="F73" s="21">
        <v>68</v>
      </c>
    </row>
    <row r="74" spans="2:6" x14ac:dyDescent="0.45">
      <c r="B74" s="25" t="s">
        <v>89</v>
      </c>
      <c r="C74" s="10">
        <v>70</v>
      </c>
      <c r="D74" s="7">
        <v>62</v>
      </c>
      <c r="E74" s="7">
        <v>83</v>
      </c>
      <c r="F74" s="22">
        <v>67</v>
      </c>
    </row>
    <row r="75" spans="2:6" x14ac:dyDescent="0.45">
      <c r="B75" s="24" t="s">
        <v>596</v>
      </c>
      <c r="C75" s="11">
        <v>71</v>
      </c>
      <c r="D75" s="5">
        <v>82</v>
      </c>
      <c r="E75" s="5">
        <v>101</v>
      </c>
      <c r="F75" s="21">
        <v>37</v>
      </c>
    </row>
    <row r="76" spans="2:6" x14ac:dyDescent="0.45">
      <c r="B76" s="25" t="s">
        <v>46</v>
      </c>
      <c r="C76" s="10">
        <v>72</v>
      </c>
      <c r="D76" s="7">
        <v>50</v>
      </c>
      <c r="E76" s="7">
        <v>95</v>
      </c>
      <c r="F76" s="22">
        <v>96</v>
      </c>
    </row>
    <row r="77" spans="2:6" x14ac:dyDescent="0.45">
      <c r="B77" s="24" t="s">
        <v>44</v>
      </c>
      <c r="C77" s="11">
        <v>73</v>
      </c>
      <c r="D77" s="5">
        <v>78</v>
      </c>
      <c r="E77" s="5">
        <v>56</v>
      </c>
      <c r="F77" s="21">
        <v>80</v>
      </c>
    </row>
    <row r="78" spans="2:6" x14ac:dyDescent="0.45">
      <c r="B78" s="25" t="s">
        <v>111</v>
      </c>
      <c r="C78" s="10">
        <v>74</v>
      </c>
      <c r="D78" s="7">
        <v>71</v>
      </c>
      <c r="E78" s="7">
        <v>75</v>
      </c>
      <c r="F78" s="22">
        <v>72</v>
      </c>
    </row>
    <row r="79" spans="2:6" x14ac:dyDescent="0.45">
      <c r="B79" s="24" t="s">
        <v>98</v>
      </c>
      <c r="C79" s="11">
        <v>75</v>
      </c>
      <c r="D79" s="5">
        <v>97</v>
      </c>
      <c r="E79" s="5">
        <v>55</v>
      </c>
      <c r="F79" s="21">
        <v>73</v>
      </c>
    </row>
    <row r="80" spans="2:6" x14ac:dyDescent="0.45">
      <c r="B80" s="25" t="s">
        <v>107</v>
      </c>
      <c r="C80" s="10">
        <v>76</v>
      </c>
      <c r="D80" s="7">
        <v>74</v>
      </c>
      <c r="E80" s="7">
        <v>86</v>
      </c>
      <c r="F80" s="22">
        <v>61</v>
      </c>
    </row>
    <row r="81" spans="2:6" x14ac:dyDescent="0.45">
      <c r="B81" s="24" t="s">
        <v>97</v>
      </c>
      <c r="C81" s="11">
        <v>77</v>
      </c>
      <c r="D81" s="5">
        <v>80</v>
      </c>
      <c r="E81" s="5">
        <v>41</v>
      </c>
      <c r="F81" s="21">
        <v>105</v>
      </c>
    </row>
    <row r="82" spans="2:6" x14ac:dyDescent="0.45">
      <c r="B82" s="25" t="s">
        <v>88</v>
      </c>
      <c r="C82" s="10">
        <v>78</v>
      </c>
      <c r="D82" s="7">
        <v>98</v>
      </c>
      <c r="E82" s="7">
        <v>53</v>
      </c>
      <c r="F82" s="22">
        <v>86</v>
      </c>
    </row>
    <row r="83" spans="2:6" x14ac:dyDescent="0.45">
      <c r="B83" s="24" t="s">
        <v>374</v>
      </c>
      <c r="C83" s="11">
        <v>79</v>
      </c>
      <c r="D83" s="5">
        <v>63</v>
      </c>
      <c r="E83" s="5">
        <v>107</v>
      </c>
      <c r="F83" s="21">
        <v>70</v>
      </c>
    </row>
    <row r="84" spans="2:6" x14ac:dyDescent="0.45">
      <c r="B84" s="25" t="s">
        <v>91</v>
      </c>
      <c r="C84" s="10">
        <v>80</v>
      </c>
      <c r="D84" s="7">
        <v>93</v>
      </c>
      <c r="E84" s="7">
        <v>76</v>
      </c>
      <c r="F84" s="22">
        <v>75</v>
      </c>
    </row>
    <row r="85" spans="2:6" x14ac:dyDescent="0.45">
      <c r="B85" s="24" t="s">
        <v>84</v>
      </c>
      <c r="C85" s="11">
        <v>81</v>
      </c>
      <c r="D85" s="5">
        <v>76</v>
      </c>
      <c r="E85" s="5">
        <v>67</v>
      </c>
      <c r="F85" s="21">
        <v>101</v>
      </c>
    </row>
    <row r="86" spans="2:6" x14ac:dyDescent="0.45">
      <c r="B86" s="25" t="s">
        <v>80</v>
      </c>
      <c r="C86" s="10">
        <v>82</v>
      </c>
      <c r="D86" s="7">
        <v>70</v>
      </c>
      <c r="E86" s="7">
        <v>90</v>
      </c>
      <c r="F86" s="22">
        <v>83</v>
      </c>
    </row>
    <row r="87" spans="2:6" x14ac:dyDescent="0.45">
      <c r="B87" s="24" t="s">
        <v>105</v>
      </c>
      <c r="C87" s="11">
        <v>83</v>
      </c>
      <c r="D87" s="5">
        <v>100</v>
      </c>
      <c r="E87" s="5">
        <v>80</v>
      </c>
      <c r="F87" s="21">
        <v>65</v>
      </c>
    </row>
    <row r="88" spans="2:6" x14ac:dyDescent="0.45">
      <c r="B88" s="25" t="s">
        <v>114</v>
      </c>
      <c r="C88" s="10">
        <v>84</v>
      </c>
      <c r="D88" s="7">
        <v>94</v>
      </c>
      <c r="E88" s="7">
        <v>79</v>
      </c>
      <c r="F88" s="22">
        <v>77</v>
      </c>
    </row>
    <row r="89" spans="2:6" x14ac:dyDescent="0.45">
      <c r="B89" s="24" t="s">
        <v>403</v>
      </c>
      <c r="C89" s="11">
        <v>85</v>
      </c>
      <c r="D89" s="5">
        <v>102</v>
      </c>
      <c r="E89" s="5">
        <v>70</v>
      </c>
      <c r="F89" s="21">
        <v>81</v>
      </c>
    </row>
    <row r="90" spans="2:6" x14ac:dyDescent="0.45">
      <c r="B90" s="25" t="s">
        <v>92</v>
      </c>
      <c r="C90" s="10">
        <v>86</v>
      </c>
      <c r="D90" s="7">
        <v>85</v>
      </c>
      <c r="E90" s="7">
        <v>78</v>
      </c>
      <c r="F90" s="22">
        <v>89</v>
      </c>
    </row>
    <row r="91" spans="2:6" x14ac:dyDescent="0.45">
      <c r="B91" s="24" t="s">
        <v>102</v>
      </c>
      <c r="C91" s="11">
        <v>87</v>
      </c>
      <c r="D91" s="5">
        <v>75</v>
      </c>
      <c r="E91" s="5">
        <v>94</v>
      </c>
      <c r="F91" s="21">
        <v>84</v>
      </c>
    </row>
    <row r="92" spans="2:6" x14ac:dyDescent="0.45">
      <c r="B92" s="25" t="s">
        <v>108</v>
      </c>
      <c r="C92" s="10">
        <v>88</v>
      </c>
      <c r="D92" s="7">
        <v>77</v>
      </c>
      <c r="E92" s="7">
        <v>102</v>
      </c>
      <c r="F92" s="22">
        <v>79</v>
      </c>
    </row>
    <row r="93" spans="2:6" x14ac:dyDescent="0.45">
      <c r="B93" s="24" t="s">
        <v>103</v>
      </c>
      <c r="C93" s="11">
        <v>89</v>
      </c>
      <c r="D93" s="5">
        <v>103</v>
      </c>
      <c r="E93" s="5">
        <v>87</v>
      </c>
      <c r="F93" s="21">
        <v>66</v>
      </c>
    </row>
    <row r="94" spans="2:6" x14ac:dyDescent="0.45">
      <c r="B94" s="25" t="s">
        <v>109</v>
      </c>
      <c r="C94" s="10">
        <v>90</v>
      </c>
      <c r="D94" s="7">
        <v>88</v>
      </c>
      <c r="E94" s="7">
        <v>108</v>
      </c>
      <c r="F94" s="22">
        <v>62</v>
      </c>
    </row>
    <row r="95" spans="2:6" x14ac:dyDescent="0.45">
      <c r="B95" s="24" t="s">
        <v>400</v>
      </c>
      <c r="C95" s="11">
        <v>91</v>
      </c>
      <c r="D95" s="5">
        <v>91</v>
      </c>
      <c r="E95" s="5">
        <v>73</v>
      </c>
      <c r="F95" s="21">
        <v>100</v>
      </c>
    </row>
    <row r="96" spans="2:6" x14ac:dyDescent="0.45">
      <c r="B96" s="25" t="s">
        <v>100</v>
      </c>
      <c r="C96" s="10">
        <v>92</v>
      </c>
      <c r="D96" s="7">
        <v>90</v>
      </c>
      <c r="E96" s="7">
        <v>71</v>
      </c>
      <c r="F96" s="22">
        <v>104</v>
      </c>
    </row>
    <row r="97" spans="2:6" x14ac:dyDescent="0.45">
      <c r="B97" s="24" t="s">
        <v>95</v>
      </c>
      <c r="C97" s="11">
        <v>93</v>
      </c>
      <c r="D97" s="5">
        <v>79</v>
      </c>
      <c r="E97" s="5">
        <v>77</v>
      </c>
      <c r="F97" s="21">
        <v>106</v>
      </c>
    </row>
    <row r="98" spans="2:6" x14ac:dyDescent="0.45">
      <c r="B98" s="25" t="s">
        <v>110</v>
      </c>
      <c r="C98" s="10">
        <v>94</v>
      </c>
      <c r="D98" s="7">
        <v>69</v>
      </c>
      <c r="E98" s="7">
        <v>112</v>
      </c>
      <c r="F98" s="22">
        <v>82</v>
      </c>
    </row>
    <row r="99" spans="2:6" x14ac:dyDescent="0.45">
      <c r="B99" s="24" t="s">
        <v>116</v>
      </c>
      <c r="C99" s="11">
        <v>95</v>
      </c>
      <c r="D99" s="5">
        <v>89</v>
      </c>
      <c r="E99" s="5">
        <v>82</v>
      </c>
      <c r="F99" s="21">
        <v>93</v>
      </c>
    </row>
    <row r="100" spans="2:6" x14ac:dyDescent="0.45">
      <c r="B100" s="25" t="s">
        <v>94</v>
      </c>
      <c r="C100" s="10">
        <v>96</v>
      </c>
      <c r="D100" s="7">
        <v>86</v>
      </c>
      <c r="E100" s="7">
        <v>68</v>
      </c>
      <c r="F100" s="22">
        <v>112</v>
      </c>
    </row>
    <row r="101" spans="2:6" x14ac:dyDescent="0.45">
      <c r="B101" s="24" t="s">
        <v>93</v>
      </c>
      <c r="C101" s="11">
        <v>97</v>
      </c>
      <c r="D101" s="5">
        <v>107</v>
      </c>
      <c r="E101" s="5">
        <v>66</v>
      </c>
      <c r="F101" s="21">
        <v>102</v>
      </c>
    </row>
    <row r="102" spans="2:6" x14ac:dyDescent="0.45">
      <c r="B102" s="25" t="s">
        <v>24</v>
      </c>
      <c r="C102" s="10">
        <v>98</v>
      </c>
      <c r="D102" s="7">
        <v>83</v>
      </c>
      <c r="E102" s="7">
        <v>100</v>
      </c>
      <c r="F102" s="22">
        <v>99</v>
      </c>
    </row>
    <row r="103" spans="2:6" x14ac:dyDescent="0.45">
      <c r="B103" s="24" t="s">
        <v>117</v>
      </c>
      <c r="C103" s="11">
        <v>99</v>
      </c>
      <c r="D103" s="5">
        <v>72</v>
      </c>
      <c r="E103" s="5">
        <v>96</v>
      </c>
      <c r="F103" s="21">
        <v>108</v>
      </c>
    </row>
    <row r="104" spans="2:6" x14ac:dyDescent="0.45">
      <c r="B104" s="25" t="s">
        <v>122</v>
      </c>
      <c r="C104" s="10">
        <v>100</v>
      </c>
      <c r="D104" s="7">
        <v>99</v>
      </c>
      <c r="E104" s="7">
        <v>93</v>
      </c>
      <c r="F104" s="22">
        <v>97</v>
      </c>
    </row>
    <row r="105" spans="2:6" x14ac:dyDescent="0.45">
      <c r="B105" s="24" t="s">
        <v>125</v>
      </c>
      <c r="C105" s="11">
        <v>101</v>
      </c>
      <c r="D105" s="5">
        <v>108</v>
      </c>
      <c r="E105" s="5">
        <v>91</v>
      </c>
      <c r="F105" s="21">
        <v>90</v>
      </c>
    </row>
    <row r="106" spans="2:6" x14ac:dyDescent="0.45">
      <c r="B106" s="25" t="s">
        <v>96</v>
      </c>
      <c r="C106" s="10">
        <v>102</v>
      </c>
      <c r="D106" s="7">
        <v>105</v>
      </c>
      <c r="E106" s="7">
        <v>121</v>
      </c>
      <c r="F106" s="22">
        <v>71</v>
      </c>
    </row>
    <row r="107" spans="2:6" x14ac:dyDescent="0.45">
      <c r="B107" s="24" t="s">
        <v>390</v>
      </c>
      <c r="C107" s="11">
        <v>103</v>
      </c>
      <c r="D107" s="5">
        <v>101</v>
      </c>
      <c r="E107" s="5">
        <v>84</v>
      </c>
      <c r="F107" s="21">
        <v>113</v>
      </c>
    </row>
    <row r="108" spans="2:6" x14ac:dyDescent="0.45">
      <c r="B108" s="25" t="s">
        <v>128</v>
      </c>
      <c r="C108" s="10">
        <v>104</v>
      </c>
      <c r="D108" s="7">
        <v>110</v>
      </c>
      <c r="E108" s="7">
        <v>109</v>
      </c>
      <c r="F108" s="22">
        <v>94</v>
      </c>
    </row>
    <row r="109" spans="2:6" x14ac:dyDescent="0.45">
      <c r="B109" s="24" t="s">
        <v>104</v>
      </c>
      <c r="C109" s="11">
        <v>105</v>
      </c>
      <c r="D109" s="5">
        <v>81</v>
      </c>
      <c r="E109" s="5">
        <v>88</v>
      </c>
      <c r="F109" s="21">
        <v>118</v>
      </c>
    </row>
    <row r="110" spans="2:6" x14ac:dyDescent="0.45">
      <c r="B110" s="25" t="s">
        <v>120</v>
      </c>
      <c r="C110" s="10">
        <v>106</v>
      </c>
      <c r="D110" s="7">
        <v>96</v>
      </c>
      <c r="E110" s="7">
        <v>113</v>
      </c>
      <c r="F110" s="22">
        <v>111</v>
      </c>
    </row>
    <row r="111" spans="2:6" x14ac:dyDescent="0.45">
      <c r="B111" s="24" t="s">
        <v>131</v>
      </c>
      <c r="C111" s="11">
        <v>107</v>
      </c>
      <c r="D111" s="5">
        <v>122</v>
      </c>
      <c r="E111" s="5">
        <v>122</v>
      </c>
      <c r="F111" s="21">
        <v>54</v>
      </c>
    </row>
    <row r="112" spans="2:6" x14ac:dyDescent="0.45">
      <c r="B112" s="25" t="s">
        <v>121</v>
      </c>
      <c r="C112" s="10">
        <v>108</v>
      </c>
      <c r="D112" s="7">
        <v>106</v>
      </c>
      <c r="E112" s="7">
        <v>124</v>
      </c>
      <c r="F112" s="22">
        <v>92</v>
      </c>
    </row>
    <row r="113" spans="2:6" x14ac:dyDescent="0.45">
      <c r="B113" s="24" t="s">
        <v>118</v>
      </c>
      <c r="C113" s="11">
        <v>109</v>
      </c>
      <c r="D113" s="5">
        <v>123</v>
      </c>
      <c r="E113" s="5">
        <v>98</v>
      </c>
      <c r="F113" s="21">
        <v>95</v>
      </c>
    </row>
    <row r="114" spans="2:6" x14ac:dyDescent="0.45">
      <c r="B114" s="25" t="s">
        <v>119</v>
      </c>
      <c r="C114" s="10">
        <v>110</v>
      </c>
      <c r="D114" s="7">
        <v>118</v>
      </c>
      <c r="E114" s="7">
        <v>97</v>
      </c>
      <c r="F114" s="22">
        <v>110</v>
      </c>
    </row>
    <row r="115" spans="2:6" x14ac:dyDescent="0.45">
      <c r="B115" s="24" t="s">
        <v>130</v>
      </c>
      <c r="C115" s="11">
        <v>111</v>
      </c>
      <c r="D115" s="5">
        <v>116</v>
      </c>
      <c r="E115" s="5">
        <v>114</v>
      </c>
      <c r="F115" s="21">
        <v>98</v>
      </c>
    </row>
    <row r="116" spans="2:6" x14ac:dyDescent="0.45">
      <c r="B116" s="25" t="s">
        <v>112</v>
      </c>
      <c r="C116" s="10">
        <v>112</v>
      </c>
      <c r="D116" s="7">
        <v>87</v>
      </c>
      <c r="E116" s="7">
        <v>89</v>
      </c>
      <c r="F116" s="22">
        <v>125</v>
      </c>
    </row>
    <row r="117" spans="2:6" x14ac:dyDescent="0.45">
      <c r="B117" s="24" t="s">
        <v>126</v>
      </c>
      <c r="C117" s="11">
        <v>113</v>
      </c>
      <c r="D117" s="5">
        <v>112</v>
      </c>
      <c r="E117" s="5">
        <v>85</v>
      </c>
      <c r="F117" s="21">
        <v>117</v>
      </c>
    </row>
    <row r="118" spans="2:6" x14ac:dyDescent="0.45">
      <c r="B118" s="25" t="s">
        <v>124</v>
      </c>
      <c r="C118" s="10">
        <v>114</v>
      </c>
      <c r="D118" s="7">
        <v>111</v>
      </c>
      <c r="E118" s="7">
        <v>120</v>
      </c>
      <c r="F118" s="22">
        <v>107</v>
      </c>
    </row>
    <row r="119" spans="2:6" x14ac:dyDescent="0.45">
      <c r="B119" s="24" t="s">
        <v>123</v>
      </c>
      <c r="C119" s="11">
        <v>115</v>
      </c>
      <c r="D119" s="5">
        <v>113</v>
      </c>
      <c r="E119" s="5">
        <v>104</v>
      </c>
      <c r="F119" s="21">
        <v>116</v>
      </c>
    </row>
    <row r="120" spans="2:6" x14ac:dyDescent="0.45">
      <c r="B120" s="25" t="s">
        <v>385</v>
      </c>
      <c r="C120" s="10">
        <v>116</v>
      </c>
      <c r="D120" s="7">
        <v>117</v>
      </c>
      <c r="E120" s="7">
        <v>116</v>
      </c>
      <c r="F120" s="22">
        <v>109</v>
      </c>
    </row>
    <row r="121" spans="2:6" x14ac:dyDescent="0.45">
      <c r="B121" s="24" t="s">
        <v>113</v>
      </c>
      <c r="C121" s="11">
        <v>117</v>
      </c>
      <c r="D121" s="5">
        <v>120</v>
      </c>
      <c r="E121" s="5">
        <v>103</v>
      </c>
      <c r="F121" s="21">
        <v>114</v>
      </c>
    </row>
    <row r="122" spans="2:6" x14ac:dyDescent="0.45">
      <c r="B122" s="25" t="s">
        <v>388</v>
      </c>
      <c r="C122" s="10">
        <v>118</v>
      </c>
      <c r="D122" s="7">
        <v>104</v>
      </c>
      <c r="E122" s="7">
        <v>119</v>
      </c>
      <c r="F122" s="22">
        <v>115</v>
      </c>
    </row>
    <row r="123" spans="2:6" x14ac:dyDescent="0.45">
      <c r="B123" s="24" t="s">
        <v>115</v>
      </c>
      <c r="C123" s="11">
        <v>119</v>
      </c>
      <c r="D123" s="5">
        <v>109</v>
      </c>
      <c r="E123" s="5">
        <v>111</v>
      </c>
      <c r="F123" s="21">
        <v>122</v>
      </c>
    </row>
    <row r="124" spans="2:6" x14ac:dyDescent="0.45">
      <c r="B124" s="25" t="s">
        <v>127</v>
      </c>
      <c r="C124" s="10">
        <v>120</v>
      </c>
      <c r="D124" s="7">
        <v>125</v>
      </c>
      <c r="E124" s="7">
        <v>118</v>
      </c>
      <c r="F124" s="22">
        <v>103</v>
      </c>
    </row>
    <row r="125" spans="2:6" x14ac:dyDescent="0.45">
      <c r="B125" s="24" t="s">
        <v>132</v>
      </c>
      <c r="C125" s="11">
        <v>121</v>
      </c>
      <c r="D125" s="5">
        <v>114</v>
      </c>
      <c r="E125" s="5">
        <v>105</v>
      </c>
      <c r="F125" s="21">
        <v>123</v>
      </c>
    </row>
    <row r="126" spans="2:6" x14ac:dyDescent="0.45">
      <c r="B126" s="25" t="s">
        <v>129</v>
      </c>
      <c r="C126" s="10">
        <v>122</v>
      </c>
      <c r="D126" s="7">
        <v>126</v>
      </c>
      <c r="E126" s="7">
        <v>81</v>
      </c>
      <c r="F126" s="22">
        <v>121</v>
      </c>
    </row>
    <row r="127" spans="2:6" x14ac:dyDescent="0.45">
      <c r="B127" s="24" t="s">
        <v>133</v>
      </c>
      <c r="C127" s="11">
        <v>123</v>
      </c>
      <c r="D127" s="5">
        <v>115</v>
      </c>
      <c r="E127" s="5">
        <v>110</v>
      </c>
      <c r="F127" s="21">
        <v>126</v>
      </c>
    </row>
    <row r="128" spans="2:6" x14ac:dyDescent="0.45">
      <c r="B128" s="25" t="s">
        <v>134</v>
      </c>
      <c r="C128" s="10">
        <v>124</v>
      </c>
      <c r="D128" s="7">
        <v>119</v>
      </c>
      <c r="E128" s="7">
        <v>123</v>
      </c>
      <c r="F128" s="22">
        <v>124</v>
      </c>
    </row>
    <row r="129" spans="2:6" x14ac:dyDescent="0.45">
      <c r="B129" s="24" t="s">
        <v>597</v>
      </c>
      <c r="C129" s="11">
        <v>125</v>
      </c>
      <c r="D129" s="5">
        <v>124</v>
      </c>
      <c r="E129" s="5">
        <v>125</v>
      </c>
      <c r="F129" s="21">
        <v>119</v>
      </c>
    </row>
    <row r="130" spans="2:6" x14ac:dyDescent="0.45">
      <c r="B130" s="25" t="s">
        <v>598</v>
      </c>
      <c r="C130" s="10">
        <v>126</v>
      </c>
      <c r="D130" s="7">
        <v>121</v>
      </c>
      <c r="E130" s="7">
        <v>126</v>
      </c>
      <c r="F130" s="22">
        <v>120</v>
      </c>
    </row>
    <row r="131" spans="2:6" x14ac:dyDescent="0.45">
      <c r="B131" s="100" t="s">
        <v>135</v>
      </c>
      <c r="C131" s="101">
        <v>127</v>
      </c>
      <c r="D131" s="102">
        <v>127</v>
      </c>
      <c r="E131" s="102">
        <v>127</v>
      </c>
      <c r="F131" s="103">
        <v>126</v>
      </c>
    </row>
    <row r="132" spans="2:6" x14ac:dyDescent="0.45">
      <c r="B132" t="s">
        <v>887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B1:F132"/>
  <sheetViews>
    <sheetView workbookViewId="0">
      <selection activeCell="F1" sqref="F1"/>
    </sheetView>
  </sheetViews>
  <sheetFormatPr defaultRowHeight="14.25" x14ac:dyDescent="0.45"/>
  <cols>
    <col min="2" max="2" width="27.796875" bestFit="1" customWidth="1"/>
  </cols>
  <sheetData>
    <row r="1" spans="2:6" x14ac:dyDescent="0.45">
      <c r="B1" t="s">
        <v>7</v>
      </c>
      <c r="C1" t="s">
        <v>640</v>
      </c>
      <c r="D1" t="s">
        <v>650</v>
      </c>
      <c r="E1" t="s">
        <v>651</v>
      </c>
      <c r="F1" t="s">
        <v>652</v>
      </c>
    </row>
    <row r="2" spans="2:6" x14ac:dyDescent="0.45">
      <c r="B2" t="s">
        <v>616</v>
      </c>
      <c r="D2" s="84"/>
      <c r="E2" s="84"/>
      <c r="F2" s="84"/>
    </row>
    <row r="3" spans="2:6" x14ac:dyDescent="0.45">
      <c r="B3" s="81"/>
      <c r="C3" s="8" t="s">
        <v>278</v>
      </c>
      <c r="D3" s="82" t="s">
        <v>277</v>
      </c>
      <c r="E3" s="82"/>
      <c r="F3" s="83"/>
    </row>
    <row r="4" spans="2:6" ht="64.5" x14ac:dyDescent="0.45">
      <c r="B4" s="77" t="s">
        <v>7</v>
      </c>
      <c r="C4" s="78" t="s">
        <v>4</v>
      </c>
      <c r="D4" s="79" t="s">
        <v>7</v>
      </c>
      <c r="E4" s="79" t="s">
        <v>274</v>
      </c>
      <c r="F4" s="80" t="s">
        <v>275</v>
      </c>
    </row>
    <row r="5" spans="2:6" x14ac:dyDescent="0.45">
      <c r="B5" s="24" t="s">
        <v>13</v>
      </c>
      <c r="C5" s="11">
        <v>1</v>
      </c>
      <c r="D5" s="5">
        <v>2</v>
      </c>
      <c r="E5" s="5">
        <v>1</v>
      </c>
      <c r="F5" s="21">
        <v>25</v>
      </c>
    </row>
    <row r="6" spans="2:6" x14ac:dyDescent="0.45">
      <c r="B6" s="86" t="s">
        <v>55</v>
      </c>
      <c r="C6" s="10">
        <v>2</v>
      </c>
      <c r="D6" s="7">
        <v>4</v>
      </c>
      <c r="E6" s="7">
        <v>10</v>
      </c>
      <c r="F6" s="22">
        <v>1</v>
      </c>
    </row>
    <row r="7" spans="2:6" x14ac:dyDescent="0.45">
      <c r="B7" t="s">
        <v>12</v>
      </c>
      <c r="C7" s="11">
        <v>3</v>
      </c>
      <c r="D7" s="5">
        <v>7</v>
      </c>
      <c r="E7" s="5">
        <v>4</v>
      </c>
      <c r="F7" s="21">
        <v>2</v>
      </c>
    </row>
    <row r="8" spans="2:6" x14ac:dyDescent="0.45">
      <c r="B8" s="86" t="s">
        <v>11</v>
      </c>
      <c r="C8" s="10">
        <v>4</v>
      </c>
      <c r="D8" s="7">
        <v>5</v>
      </c>
      <c r="E8" s="7">
        <v>5</v>
      </c>
      <c r="F8" s="22">
        <v>10</v>
      </c>
    </row>
    <row r="9" spans="2:6" x14ac:dyDescent="0.45">
      <c r="B9" t="s">
        <v>9</v>
      </c>
      <c r="C9" s="11">
        <v>5</v>
      </c>
      <c r="D9" s="5">
        <v>8</v>
      </c>
      <c r="E9" s="5">
        <v>7</v>
      </c>
      <c r="F9" s="21">
        <v>8</v>
      </c>
    </row>
    <row r="10" spans="2:6" x14ac:dyDescent="0.45">
      <c r="B10" s="86" t="s">
        <v>58</v>
      </c>
      <c r="C10" s="10">
        <v>6</v>
      </c>
      <c r="D10" s="7">
        <v>1</v>
      </c>
      <c r="E10" s="7">
        <v>27</v>
      </c>
      <c r="F10" s="22">
        <v>36</v>
      </c>
    </row>
    <row r="11" spans="2:6" x14ac:dyDescent="0.45">
      <c r="B11" t="s">
        <v>15</v>
      </c>
      <c r="C11" s="11">
        <v>7</v>
      </c>
      <c r="D11" s="5">
        <v>6</v>
      </c>
      <c r="E11" s="5">
        <v>17</v>
      </c>
      <c r="F11" s="21">
        <v>4</v>
      </c>
    </row>
    <row r="12" spans="2:6" x14ac:dyDescent="0.45">
      <c r="B12" s="86" t="s">
        <v>14</v>
      </c>
      <c r="C12" s="10">
        <v>8</v>
      </c>
      <c r="D12" s="7">
        <v>10</v>
      </c>
      <c r="E12" s="7">
        <v>13</v>
      </c>
      <c r="F12" s="22">
        <v>7</v>
      </c>
    </row>
    <row r="13" spans="2:6" x14ac:dyDescent="0.45">
      <c r="B13" t="s">
        <v>16</v>
      </c>
      <c r="C13" s="11">
        <v>9</v>
      </c>
      <c r="D13" s="5">
        <v>9</v>
      </c>
      <c r="E13" s="5">
        <v>22</v>
      </c>
      <c r="F13" s="21">
        <v>12</v>
      </c>
    </row>
    <row r="14" spans="2:6" x14ac:dyDescent="0.45">
      <c r="B14" s="86" t="s">
        <v>53</v>
      </c>
      <c r="C14" s="10">
        <v>10</v>
      </c>
      <c r="D14" s="7">
        <v>20</v>
      </c>
      <c r="E14" s="7">
        <v>8</v>
      </c>
      <c r="F14" s="22">
        <v>5</v>
      </c>
    </row>
    <row r="15" spans="2:6" x14ac:dyDescent="0.45">
      <c r="B15" t="s">
        <v>18</v>
      </c>
      <c r="C15" s="11">
        <v>11</v>
      </c>
      <c r="D15" s="5">
        <v>13</v>
      </c>
      <c r="E15" s="5">
        <v>20</v>
      </c>
      <c r="F15" s="21">
        <v>6</v>
      </c>
    </row>
    <row r="16" spans="2:6" x14ac:dyDescent="0.45">
      <c r="B16" s="86" t="s">
        <v>17</v>
      </c>
      <c r="C16" s="10">
        <v>12</v>
      </c>
      <c r="D16" s="7">
        <v>27</v>
      </c>
      <c r="E16" s="7">
        <v>3</v>
      </c>
      <c r="F16" s="22">
        <v>14</v>
      </c>
    </row>
    <row r="17" spans="2:6" x14ac:dyDescent="0.45">
      <c r="B17" t="s">
        <v>51</v>
      </c>
      <c r="C17" s="11">
        <v>13</v>
      </c>
      <c r="D17" s="5">
        <v>15</v>
      </c>
      <c r="E17" s="5">
        <v>19</v>
      </c>
      <c r="F17" s="21">
        <v>15</v>
      </c>
    </row>
    <row r="18" spans="2:6" x14ac:dyDescent="0.45">
      <c r="B18" s="86" t="s">
        <v>54</v>
      </c>
      <c r="C18" s="10">
        <v>14</v>
      </c>
      <c r="D18" s="7">
        <v>23</v>
      </c>
      <c r="E18" s="7">
        <v>9</v>
      </c>
      <c r="F18" s="22">
        <v>18</v>
      </c>
    </row>
    <row r="19" spans="2:6" x14ac:dyDescent="0.45">
      <c r="B19" t="s">
        <v>52</v>
      </c>
      <c r="C19" s="11">
        <v>15</v>
      </c>
      <c r="D19" s="5">
        <v>11</v>
      </c>
      <c r="E19" s="5">
        <v>42</v>
      </c>
      <c r="F19" s="21">
        <v>26</v>
      </c>
    </row>
    <row r="20" spans="2:6" x14ac:dyDescent="0.45">
      <c r="B20" s="86" t="s">
        <v>281</v>
      </c>
      <c r="C20" s="10">
        <v>16</v>
      </c>
      <c r="D20" s="7">
        <v>3</v>
      </c>
      <c r="E20" s="7">
        <v>73</v>
      </c>
      <c r="F20" s="22">
        <v>34</v>
      </c>
    </row>
    <row r="21" spans="2:6" x14ac:dyDescent="0.45">
      <c r="B21" t="s">
        <v>57</v>
      </c>
      <c r="C21" s="11">
        <v>17</v>
      </c>
      <c r="D21" s="5">
        <v>21</v>
      </c>
      <c r="E21" s="5">
        <v>25</v>
      </c>
      <c r="F21" s="21">
        <v>19</v>
      </c>
    </row>
    <row r="22" spans="2:6" x14ac:dyDescent="0.45">
      <c r="B22" s="86" t="s">
        <v>30</v>
      </c>
      <c r="C22" s="10">
        <v>18</v>
      </c>
      <c r="D22" s="7">
        <v>26</v>
      </c>
      <c r="E22" s="7">
        <v>16</v>
      </c>
      <c r="F22" s="22">
        <v>17</v>
      </c>
    </row>
    <row r="23" spans="2:6" x14ac:dyDescent="0.45">
      <c r="B23" t="s">
        <v>35</v>
      </c>
      <c r="C23" s="11">
        <v>19</v>
      </c>
      <c r="D23" s="5">
        <v>18</v>
      </c>
      <c r="E23" s="5">
        <v>24</v>
      </c>
      <c r="F23" s="21">
        <v>28</v>
      </c>
    </row>
    <row r="24" spans="2:6" x14ac:dyDescent="0.45">
      <c r="B24" s="86" t="s">
        <v>56</v>
      </c>
      <c r="C24" s="10">
        <v>20</v>
      </c>
      <c r="D24" s="7">
        <v>29</v>
      </c>
      <c r="E24" s="7">
        <v>14</v>
      </c>
      <c r="F24" s="22">
        <v>20</v>
      </c>
    </row>
    <row r="25" spans="2:6" x14ac:dyDescent="0.45">
      <c r="B25" t="s">
        <v>50</v>
      </c>
      <c r="C25" s="11">
        <v>21</v>
      </c>
      <c r="D25" s="5">
        <v>22</v>
      </c>
      <c r="E25" s="5">
        <v>38</v>
      </c>
      <c r="F25" s="21">
        <v>13</v>
      </c>
    </row>
    <row r="26" spans="2:6" x14ac:dyDescent="0.45">
      <c r="B26" s="86" t="s">
        <v>282</v>
      </c>
      <c r="C26" s="10">
        <v>22</v>
      </c>
      <c r="D26" s="7">
        <v>12</v>
      </c>
      <c r="E26" s="7">
        <v>56</v>
      </c>
      <c r="F26" s="22">
        <v>31</v>
      </c>
    </row>
    <row r="27" spans="2:6" x14ac:dyDescent="0.45">
      <c r="B27" t="s">
        <v>61</v>
      </c>
      <c r="C27" s="11">
        <v>23</v>
      </c>
      <c r="D27" s="5">
        <v>71</v>
      </c>
      <c r="E27" s="5">
        <v>6</v>
      </c>
      <c r="F27" s="21">
        <v>23</v>
      </c>
    </row>
    <row r="28" spans="2:6" x14ac:dyDescent="0.45">
      <c r="B28" s="86" t="s">
        <v>311</v>
      </c>
      <c r="C28" s="10">
        <v>24</v>
      </c>
      <c r="D28" s="7">
        <v>51</v>
      </c>
      <c r="E28" s="7">
        <v>12</v>
      </c>
      <c r="F28" s="22">
        <v>29</v>
      </c>
    </row>
    <row r="29" spans="2:6" x14ac:dyDescent="0.45">
      <c r="B29" t="s">
        <v>59</v>
      </c>
      <c r="C29" s="11">
        <v>25</v>
      </c>
      <c r="D29" s="5">
        <v>37</v>
      </c>
      <c r="E29" s="5">
        <v>41</v>
      </c>
      <c r="F29" s="21">
        <v>9</v>
      </c>
    </row>
    <row r="30" spans="2:6" x14ac:dyDescent="0.45">
      <c r="B30" s="86" t="s">
        <v>65</v>
      </c>
      <c r="C30" s="10">
        <v>26</v>
      </c>
      <c r="D30" s="7">
        <v>49</v>
      </c>
      <c r="E30" s="7">
        <v>37</v>
      </c>
      <c r="F30" s="22">
        <v>11</v>
      </c>
    </row>
    <row r="31" spans="2:6" x14ac:dyDescent="0.45">
      <c r="B31" t="s">
        <v>62</v>
      </c>
      <c r="C31" s="11">
        <v>27</v>
      </c>
      <c r="D31" s="5">
        <v>45</v>
      </c>
      <c r="E31" s="5">
        <v>33</v>
      </c>
      <c r="F31" s="21">
        <v>22</v>
      </c>
    </row>
    <row r="32" spans="2:6" x14ac:dyDescent="0.45">
      <c r="B32" s="86" t="s">
        <v>81</v>
      </c>
      <c r="C32" s="10">
        <v>28</v>
      </c>
      <c r="D32" s="7">
        <v>36</v>
      </c>
      <c r="E32" s="7">
        <v>18</v>
      </c>
      <c r="F32" s="22">
        <v>43</v>
      </c>
    </row>
    <row r="33" spans="2:6" x14ac:dyDescent="0.45">
      <c r="B33" t="s">
        <v>66</v>
      </c>
      <c r="C33" s="11">
        <v>29</v>
      </c>
      <c r="D33" s="5">
        <v>39</v>
      </c>
      <c r="E33" s="5">
        <v>32</v>
      </c>
      <c r="F33" s="21">
        <v>27</v>
      </c>
    </row>
    <row r="34" spans="2:6" x14ac:dyDescent="0.45">
      <c r="B34" s="86" t="s">
        <v>41</v>
      </c>
      <c r="C34" s="10">
        <v>30</v>
      </c>
      <c r="D34" s="7">
        <v>17</v>
      </c>
      <c r="E34" s="7">
        <v>60</v>
      </c>
      <c r="F34" s="22">
        <v>48</v>
      </c>
    </row>
    <row r="35" spans="2:6" x14ac:dyDescent="0.45">
      <c r="B35" t="s">
        <v>82</v>
      </c>
      <c r="C35" s="11">
        <v>31</v>
      </c>
      <c r="D35" s="5">
        <v>16</v>
      </c>
      <c r="E35" s="5">
        <v>44</v>
      </c>
      <c r="F35" s="21">
        <v>59</v>
      </c>
    </row>
    <row r="36" spans="2:6" x14ac:dyDescent="0.45">
      <c r="B36" s="86" t="s">
        <v>73</v>
      </c>
      <c r="C36" s="10">
        <v>32</v>
      </c>
      <c r="D36" s="7">
        <v>28</v>
      </c>
      <c r="E36" s="7">
        <v>30</v>
      </c>
      <c r="F36" s="22">
        <v>47</v>
      </c>
    </row>
    <row r="37" spans="2:6" x14ac:dyDescent="0.45">
      <c r="B37" t="s">
        <v>137</v>
      </c>
      <c r="C37" s="11">
        <v>33</v>
      </c>
      <c r="D37" s="5">
        <v>34</v>
      </c>
      <c r="E37" s="5">
        <v>21</v>
      </c>
      <c r="F37" s="21">
        <v>56</v>
      </c>
    </row>
    <row r="38" spans="2:6" x14ac:dyDescent="0.45">
      <c r="B38" s="86" t="s">
        <v>26</v>
      </c>
      <c r="C38" s="10">
        <v>34</v>
      </c>
      <c r="D38" s="7">
        <v>42</v>
      </c>
      <c r="E38" s="7">
        <v>11</v>
      </c>
      <c r="F38" s="22">
        <v>61</v>
      </c>
    </row>
    <row r="39" spans="2:6" x14ac:dyDescent="0.45">
      <c r="B39" t="s">
        <v>63</v>
      </c>
      <c r="C39" s="11">
        <v>35</v>
      </c>
      <c r="D39" s="5">
        <v>48</v>
      </c>
      <c r="E39" s="5">
        <v>59</v>
      </c>
      <c r="F39" s="21">
        <v>16</v>
      </c>
    </row>
    <row r="40" spans="2:6" x14ac:dyDescent="0.45">
      <c r="B40" s="86" t="s">
        <v>315</v>
      </c>
      <c r="C40" s="10">
        <v>36</v>
      </c>
      <c r="D40" s="7">
        <v>24</v>
      </c>
      <c r="E40" s="7">
        <v>93</v>
      </c>
      <c r="F40" s="22">
        <v>3</v>
      </c>
    </row>
    <row r="41" spans="2:6" x14ac:dyDescent="0.45">
      <c r="B41" t="s">
        <v>70</v>
      </c>
      <c r="C41" s="11">
        <v>37</v>
      </c>
      <c r="D41" s="5">
        <v>25</v>
      </c>
      <c r="E41" s="5">
        <v>69</v>
      </c>
      <c r="F41" s="21">
        <v>38</v>
      </c>
    </row>
    <row r="42" spans="2:6" x14ac:dyDescent="0.45">
      <c r="B42" s="86" t="s">
        <v>64</v>
      </c>
      <c r="C42" s="10">
        <v>38</v>
      </c>
      <c r="D42" s="7">
        <v>41</v>
      </c>
      <c r="E42" s="7">
        <v>51</v>
      </c>
      <c r="F42" s="22">
        <v>33</v>
      </c>
    </row>
    <row r="43" spans="2:6" x14ac:dyDescent="0.45">
      <c r="B43" t="s">
        <v>75</v>
      </c>
      <c r="C43" s="11">
        <v>39</v>
      </c>
      <c r="D43" s="5">
        <v>55</v>
      </c>
      <c r="E43" s="5">
        <v>31</v>
      </c>
      <c r="F43" s="21">
        <v>45</v>
      </c>
    </row>
    <row r="44" spans="2:6" x14ac:dyDescent="0.45">
      <c r="B44" s="86" t="s">
        <v>68</v>
      </c>
      <c r="C44" s="10">
        <v>40</v>
      </c>
      <c r="D44" s="7">
        <v>58</v>
      </c>
      <c r="E44" s="7">
        <v>52</v>
      </c>
      <c r="F44" s="22">
        <v>30</v>
      </c>
    </row>
    <row r="45" spans="2:6" x14ac:dyDescent="0.45">
      <c r="B45" t="s">
        <v>60</v>
      </c>
      <c r="C45" s="11">
        <v>41</v>
      </c>
      <c r="D45" s="5">
        <v>99</v>
      </c>
      <c r="E45" s="5">
        <v>2</v>
      </c>
      <c r="F45" s="21">
        <v>71</v>
      </c>
    </row>
    <row r="46" spans="2:6" x14ac:dyDescent="0.45">
      <c r="B46" s="86" t="s">
        <v>44</v>
      </c>
      <c r="C46" s="10">
        <v>42</v>
      </c>
      <c r="D46" s="7">
        <v>14</v>
      </c>
      <c r="E46" s="7">
        <v>77</v>
      </c>
      <c r="F46" s="22">
        <v>83</v>
      </c>
    </row>
    <row r="47" spans="2:6" x14ac:dyDescent="0.45">
      <c r="B47" t="s">
        <v>33</v>
      </c>
      <c r="C47" s="11">
        <v>43</v>
      </c>
      <c r="D47" s="5">
        <v>54</v>
      </c>
      <c r="E47" s="5">
        <v>63</v>
      </c>
      <c r="F47" s="21">
        <v>42</v>
      </c>
    </row>
    <row r="48" spans="2:6" x14ac:dyDescent="0.45">
      <c r="B48" s="86" t="s">
        <v>597</v>
      </c>
      <c r="C48" s="10">
        <v>44</v>
      </c>
      <c r="D48" s="7">
        <v>73</v>
      </c>
      <c r="E48" s="7">
        <v>47</v>
      </c>
      <c r="F48" s="22">
        <v>40</v>
      </c>
    </row>
    <row r="49" spans="2:6" x14ac:dyDescent="0.45">
      <c r="B49" t="s">
        <v>23</v>
      </c>
      <c r="C49" s="11">
        <v>45</v>
      </c>
      <c r="D49" s="5">
        <v>74</v>
      </c>
      <c r="E49" s="5">
        <v>72</v>
      </c>
      <c r="F49" s="21">
        <v>24</v>
      </c>
    </row>
    <row r="50" spans="2:6" x14ac:dyDescent="0.45">
      <c r="B50" s="86" t="s">
        <v>69</v>
      </c>
      <c r="C50" s="10">
        <v>46</v>
      </c>
      <c r="D50" s="7">
        <v>60</v>
      </c>
      <c r="E50" s="7">
        <v>70</v>
      </c>
      <c r="F50" s="22">
        <v>35</v>
      </c>
    </row>
    <row r="51" spans="2:6" x14ac:dyDescent="0.45">
      <c r="B51" t="s">
        <v>77</v>
      </c>
      <c r="C51" s="11">
        <v>47</v>
      </c>
      <c r="D51" s="5">
        <v>30</v>
      </c>
      <c r="E51" s="5">
        <v>43</v>
      </c>
      <c r="F51" s="21">
        <v>88</v>
      </c>
    </row>
    <row r="52" spans="2:6" x14ac:dyDescent="0.45">
      <c r="B52" s="86" t="s">
        <v>84</v>
      </c>
      <c r="C52" s="10">
        <v>48</v>
      </c>
      <c r="D52" s="7">
        <v>83</v>
      </c>
      <c r="E52" s="7">
        <v>39</v>
      </c>
      <c r="F52" s="22">
        <v>51</v>
      </c>
    </row>
    <row r="53" spans="2:6" x14ac:dyDescent="0.45">
      <c r="B53" t="s">
        <v>32</v>
      </c>
      <c r="C53" s="11">
        <v>49</v>
      </c>
      <c r="D53" s="5">
        <v>19</v>
      </c>
      <c r="E53" s="5">
        <v>91</v>
      </c>
      <c r="F53" s="21">
        <v>78</v>
      </c>
    </row>
    <row r="54" spans="2:6" x14ac:dyDescent="0.45">
      <c r="B54" s="86" t="s">
        <v>42</v>
      </c>
      <c r="C54" s="10">
        <v>50</v>
      </c>
      <c r="D54" s="7">
        <v>35</v>
      </c>
      <c r="E54" s="7">
        <v>40</v>
      </c>
      <c r="F54" s="22">
        <v>95</v>
      </c>
    </row>
    <row r="55" spans="2:6" x14ac:dyDescent="0.45">
      <c r="B55" t="s">
        <v>83</v>
      </c>
      <c r="C55" s="11">
        <v>51</v>
      </c>
      <c r="D55" s="5">
        <v>59</v>
      </c>
      <c r="E55" s="5">
        <v>54</v>
      </c>
      <c r="F55" s="21">
        <v>62</v>
      </c>
    </row>
    <row r="56" spans="2:6" x14ac:dyDescent="0.45">
      <c r="B56" s="86" t="s">
        <v>67</v>
      </c>
      <c r="C56" s="10">
        <v>52</v>
      </c>
      <c r="D56" s="7">
        <v>102</v>
      </c>
      <c r="E56" s="7">
        <v>48</v>
      </c>
      <c r="F56" s="22">
        <v>44</v>
      </c>
    </row>
    <row r="57" spans="2:6" x14ac:dyDescent="0.45">
      <c r="B57" t="s">
        <v>100</v>
      </c>
      <c r="C57" s="11">
        <v>53</v>
      </c>
      <c r="D57" s="5">
        <v>31</v>
      </c>
      <c r="E57" s="5">
        <v>46</v>
      </c>
      <c r="F57" s="21">
        <v>99</v>
      </c>
    </row>
    <row r="58" spans="2:6" x14ac:dyDescent="0.45">
      <c r="B58" s="86" t="s">
        <v>109</v>
      </c>
      <c r="C58" s="10">
        <v>54</v>
      </c>
      <c r="D58" s="7">
        <v>106</v>
      </c>
      <c r="E58" s="7">
        <v>26</v>
      </c>
      <c r="F58" s="22">
        <v>60</v>
      </c>
    </row>
    <row r="59" spans="2:6" x14ac:dyDescent="0.45">
      <c r="B59" t="s">
        <v>27</v>
      </c>
      <c r="C59" s="11">
        <v>55</v>
      </c>
      <c r="D59" s="5">
        <v>46</v>
      </c>
      <c r="E59" s="5">
        <v>23</v>
      </c>
      <c r="F59" s="21">
        <v>110</v>
      </c>
    </row>
    <row r="60" spans="2:6" x14ac:dyDescent="0.45">
      <c r="B60" s="86" t="s">
        <v>85</v>
      </c>
      <c r="C60" s="10">
        <v>56</v>
      </c>
      <c r="D60" s="7">
        <v>78</v>
      </c>
      <c r="E60" s="7">
        <v>35</v>
      </c>
      <c r="F60" s="22">
        <v>82</v>
      </c>
    </row>
    <row r="61" spans="2:6" x14ac:dyDescent="0.45">
      <c r="B61" t="s">
        <v>353</v>
      </c>
      <c r="C61" s="11">
        <v>57</v>
      </c>
      <c r="D61" s="5">
        <v>67</v>
      </c>
      <c r="E61" s="5">
        <v>49</v>
      </c>
      <c r="F61" s="21">
        <v>65</v>
      </c>
    </row>
    <row r="62" spans="2:6" x14ac:dyDescent="0.45">
      <c r="B62" s="86" t="s">
        <v>79</v>
      </c>
      <c r="C62" s="10">
        <v>58</v>
      </c>
      <c r="D62" s="7">
        <v>68</v>
      </c>
      <c r="E62" s="7">
        <v>29</v>
      </c>
      <c r="F62" s="22">
        <v>89</v>
      </c>
    </row>
    <row r="63" spans="2:6" x14ac:dyDescent="0.45">
      <c r="B63" t="s">
        <v>36</v>
      </c>
      <c r="C63" s="11">
        <v>59</v>
      </c>
      <c r="D63" s="5">
        <v>92</v>
      </c>
      <c r="E63" s="5">
        <v>57</v>
      </c>
      <c r="F63" s="21">
        <v>52</v>
      </c>
    </row>
    <row r="64" spans="2:6" x14ac:dyDescent="0.45">
      <c r="B64" s="86" t="s">
        <v>74</v>
      </c>
      <c r="C64" s="10">
        <v>60</v>
      </c>
      <c r="D64" s="7">
        <v>40</v>
      </c>
      <c r="E64" s="7">
        <v>36</v>
      </c>
      <c r="F64" s="22">
        <v>107</v>
      </c>
    </row>
    <row r="65" spans="2:6" x14ac:dyDescent="0.45">
      <c r="B65" t="s">
        <v>71</v>
      </c>
      <c r="C65" s="11">
        <v>61</v>
      </c>
      <c r="D65" s="5">
        <v>84</v>
      </c>
      <c r="E65" s="5">
        <v>89</v>
      </c>
      <c r="F65" s="21">
        <v>32</v>
      </c>
    </row>
    <row r="66" spans="2:6" x14ac:dyDescent="0.45">
      <c r="B66" s="86" t="s">
        <v>113</v>
      </c>
      <c r="C66" s="10">
        <v>62</v>
      </c>
      <c r="D66" s="7">
        <v>104</v>
      </c>
      <c r="E66" s="7">
        <v>34</v>
      </c>
      <c r="F66" s="22">
        <v>68</v>
      </c>
    </row>
    <row r="67" spans="2:6" x14ac:dyDescent="0.45">
      <c r="B67" t="s">
        <v>78</v>
      </c>
      <c r="C67" s="11">
        <v>63</v>
      </c>
      <c r="D67" s="5">
        <v>75</v>
      </c>
      <c r="E67" s="5">
        <v>68</v>
      </c>
      <c r="F67" s="21">
        <v>58</v>
      </c>
    </row>
    <row r="68" spans="2:6" x14ac:dyDescent="0.45">
      <c r="B68" s="86" t="s">
        <v>94</v>
      </c>
      <c r="C68" s="10">
        <v>64</v>
      </c>
      <c r="D68" s="7">
        <v>103</v>
      </c>
      <c r="E68" s="7">
        <v>50</v>
      </c>
      <c r="F68" s="22">
        <v>54</v>
      </c>
    </row>
    <row r="69" spans="2:6" x14ac:dyDescent="0.45">
      <c r="B69" t="s">
        <v>95</v>
      </c>
      <c r="C69" s="11">
        <v>65</v>
      </c>
      <c r="D69" s="5">
        <v>33</v>
      </c>
      <c r="E69" s="5">
        <v>90</v>
      </c>
      <c r="F69" s="21">
        <v>79</v>
      </c>
    </row>
    <row r="70" spans="2:6" x14ac:dyDescent="0.45">
      <c r="B70" s="86" t="s">
        <v>80</v>
      </c>
      <c r="C70" s="10">
        <v>66</v>
      </c>
      <c r="D70" s="7">
        <v>50</v>
      </c>
      <c r="E70" s="7">
        <v>15</v>
      </c>
      <c r="F70" s="22">
        <v>121</v>
      </c>
    </row>
    <row r="71" spans="2:6" x14ac:dyDescent="0.45">
      <c r="B71" t="s">
        <v>28</v>
      </c>
      <c r="C71" s="11">
        <v>67</v>
      </c>
      <c r="D71" s="5">
        <v>32</v>
      </c>
      <c r="E71" s="5">
        <v>45</v>
      </c>
      <c r="F71" s="21">
        <v>117</v>
      </c>
    </row>
    <row r="72" spans="2:6" x14ac:dyDescent="0.45">
      <c r="B72" s="86" t="s">
        <v>88</v>
      </c>
      <c r="C72" s="10">
        <v>68</v>
      </c>
      <c r="D72" s="7">
        <v>81</v>
      </c>
      <c r="E72" s="7">
        <v>84</v>
      </c>
      <c r="F72" s="22">
        <v>49</v>
      </c>
    </row>
    <row r="73" spans="2:6" x14ac:dyDescent="0.45">
      <c r="B73" t="s">
        <v>86</v>
      </c>
      <c r="C73" s="11">
        <v>69</v>
      </c>
      <c r="D73" s="5">
        <v>72</v>
      </c>
      <c r="E73" s="5">
        <v>64</v>
      </c>
      <c r="F73" s="21">
        <v>70</v>
      </c>
    </row>
    <row r="74" spans="2:6" x14ac:dyDescent="0.45">
      <c r="B74" s="86" t="s">
        <v>107</v>
      </c>
      <c r="C74" s="10">
        <v>70</v>
      </c>
      <c r="D74" s="7">
        <v>122</v>
      </c>
      <c r="E74" s="7">
        <v>82</v>
      </c>
      <c r="F74" s="22">
        <v>21</v>
      </c>
    </row>
    <row r="75" spans="2:6" x14ac:dyDescent="0.45">
      <c r="B75" t="s">
        <v>89</v>
      </c>
      <c r="C75" s="11">
        <v>71</v>
      </c>
      <c r="D75" s="5">
        <v>38</v>
      </c>
      <c r="E75" s="5">
        <v>58</v>
      </c>
      <c r="F75" s="21">
        <v>106</v>
      </c>
    </row>
    <row r="76" spans="2:6" x14ac:dyDescent="0.45">
      <c r="B76" s="86" t="s">
        <v>76</v>
      </c>
      <c r="C76" s="10">
        <v>72</v>
      </c>
      <c r="D76" s="7">
        <v>43</v>
      </c>
      <c r="E76" s="7">
        <v>87</v>
      </c>
      <c r="F76" s="22">
        <v>69</v>
      </c>
    </row>
    <row r="77" spans="2:6" x14ac:dyDescent="0.45">
      <c r="B77" t="s">
        <v>97</v>
      </c>
      <c r="C77" s="11">
        <v>73</v>
      </c>
      <c r="D77" s="5">
        <v>91</v>
      </c>
      <c r="E77" s="5">
        <v>53</v>
      </c>
      <c r="F77" s="21">
        <v>73</v>
      </c>
    </row>
    <row r="78" spans="2:6" x14ac:dyDescent="0.45">
      <c r="B78" s="86" t="s">
        <v>90</v>
      </c>
      <c r="C78" s="10">
        <v>74</v>
      </c>
      <c r="D78" s="7">
        <v>47</v>
      </c>
      <c r="E78" s="7">
        <v>67</v>
      </c>
      <c r="F78" s="22">
        <v>93</v>
      </c>
    </row>
    <row r="79" spans="2:6" x14ac:dyDescent="0.45">
      <c r="B79" t="s">
        <v>72</v>
      </c>
      <c r="C79" s="11">
        <v>75</v>
      </c>
      <c r="D79" s="5">
        <v>82</v>
      </c>
      <c r="E79" s="5">
        <v>94</v>
      </c>
      <c r="F79" s="21">
        <v>37</v>
      </c>
    </row>
    <row r="80" spans="2:6" x14ac:dyDescent="0.45">
      <c r="B80" s="86" t="s">
        <v>388</v>
      </c>
      <c r="C80" s="10">
        <v>76</v>
      </c>
      <c r="D80" s="7">
        <v>66</v>
      </c>
      <c r="E80" s="7">
        <v>71</v>
      </c>
      <c r="F80" s="22">
        <v>81</v>
      </c>
    </row>
    <row r="81" spans="2:6" x14ac:dyDescent="0.45">
      <c r="B81" t="s">
        <v>92</v>
      </c>
      <c r="C81" s="11">
        <v>77</v>
      </c>
      <c r="D81" s="5">
        <v>97</v>
      </c>
      <c r="E81" s="5">
        <v>80</v>
      </c>
      <c r="F81" s="21">
        <v>50</v>
      </c>
    </row>
    <row r="82" spans="2:6" x14ac:dyDescent="0.45">
      <c r="B82" s="86" t="s">
        <v>105</v>
      </c>
      <c r="C82" s="10">
        <v>78</v>
      </c>
      <c r="D82" s="7">
        <v>100</v>
      </c>
      <c r="E82" s="7">
        <v>55</v>
      </c>
      <c r="F82" s="22">
        <v>66</v>
      </c>
    </row>
    <row r="83" spans="2:6" x14ac:dyDescent="0.45">
      <c r="B83" t="s">
        <v>136</v>
      </c>
      <c r="C83" s="11">
        <v>79</v>
      </c>
      <c r="D83" s="5">
        <v>70</v>
      </c>
      <c r="E83" s="5">
        <v>76</v>
      </c>
      <c r="F83" s="21">
        <v>77</v>
      </c>
    </row>
    <row r="84" spans="2:6" x14ac:dyDescent="0.45">
      <c r="B84" s="86" t="s">
        <v>99</v>
      </c>
      <c r="C84" s="10">
        <v>80</v>
      </c>
      <c r="D84" s="7">
        <v>77</v>
      </c>
      <c r="E84" s="7">
        <v>61</v>
      </c>
      <c r="F84" s="22">
        <v>92</v>
      </c>
    </row>
    <row r="85" spans="2:6" x14ac:dyDescent="0.45">
      <c r="B85" t="s">
        <v>385</v>
      </c>
      <c r="C85" s="11">
        <v>81</v>
      </c>
      <c r="D85" s="5">
        <v>120</v>
      </c>
      <c r="E85" s="5">
        <v>79</v>
      </c>
      <c r="F85" s="21">
        <v>46</v>
      </c>
    </row>
    <row r="86" spans="2:6" x14ac:dyDescent="0.45">
      <c r="B86" s="86" t="s">
        <v>596</v>
      </c>
      <c r="C86" s="10">
        <v>82</v>
      </c>
      <c r="D86" s="7">
        <v>107</v>
      </c>
      <c r="E86" s="7">
        <v>28</v>
      </c>
      <c r="F86" s="22">
        <v>100</v>
      </c>
    </row>
    <row r="87" spans="2:6" x14ac:dyDescent="0.45">
      <c r="B87" t="s">
        <v>108</v>
      </c>
      <c r="C87" s="11">
        <v>83</v>
      </c>
      <c r="D87" s="5">
        <v>124</v>
      </c>
      <c r="E87" s="5">
        <v>83</v>
      </c>
      <c r="F87" s="21">
        <v>39</v>
      </c>
    </row>
    <row r="88" spans="2:6" x14ac:dyDescent="0.45">
      <c r="B88" s="86" t="s">
        <v>118</v>
      </c>
      <c r="C88" s="10">
        <v>84</v>
      </c>
      <c r="D88" s="7">
        <v>115</v>
      </c>
      <c r="E88" s="7">
        <v>74</v>
      </c>
      <c r="F88" s="22">
        <v>57</v>
      </c>
    </row>
    <row r="89" spans="2:6" x14ac:dyDescent="0.45">
      <c r="B89" t="s">
        <v>119</v>
      </c>
      <c r="C89" s="11">
        <v>85</v>
      </c>
      <c r="D89" s="5">
        <v>86</v>
      </c>
      <c r="E89" s="5">
        <v>62</v>
      </c>
      <c r="F89" s="21">
        <v>102</v>
      </c>
    </row>
    <row r="90" spans="2:6" x14ac:dyDescent="0.45">
      <c r="B90" s="86" t="s">
        <v>124</v>
      </c>
      <c r="C90" s="10">
        <v>86</v>
      </c>
      <c r="D90" s="7">
        <v>89</v>
      </c>
      <c r="E90" s="7">
        <v>78</v>
      </c>
      <c r="F90" s="22">
        <v>90</v>
      </c>
    </row>
    <row r="91" spans="2:6" x14ac:dyDescent="0.45">
      <c r="B91" t="s">
        <v>96</v>
      </c>
      <c r="C91" s="11">
        <v>87</v>
      </c>
      <c r="D91" s="5">
        <v>80</v>
      </c>
      <c r="E91" s="5">
        <v>99</v>
      </c>
      <c r="F91" s="21">
        <v>55</v>
      </c>
    </row>
    <row r="92" spans="2:6" x14ac:dyDescent="0.45">
      <c r="B92" s="86" t="s">
        <v>110</v>
      </c>
      <c r="C92" s="10">
        <v>88</v>
      </c>
      <c r="D92" s="7">
        <v>63</v>
      </c>
      <c r="E92" s="7">
        <v>86</v>
      </c>
      <c r="F92" s="22">
        <v>97</v>
      </c>
    </row>
    <row r="93" spans="2:6" x14ac:dyDescent="0.45">
      <c r="B93" t="s">
        <v>24</v>
      </c>
      <c r="C93" s="11">
        <v>89</v>
      </c>
      <c r="D93" s="5">
        <v>44</v>
      </c>
      <c r="E93" s="5">
        <v>112</v>
      </c>
      <c r="F93" s="21">
        <v>74</v>
      </c>
    </row>
    <row r="94" spans="2:6" x14ac:dyDescent="0.45">
      <c r="B94" s="86" t="s">
        <v>87</v>
      </c>
      <c r="C94" s="10">
        <v>90</v>
      </c>
      <c r="D94" s="7">
        <v>98</v>
      </c>
      <c r="E94" s="7">
        <v>88</v>
      </c>
      <c r="F94" s="22">
        <v>76</v>
      </c>
    </row>
    <row r="95" spans="2:6" x14ac:dyDescent="0.45">
      <c r="B95" t="s">
        <v>390</v>
      </c>
      <c r="C95" s="11">
        <v>91</v>
      </c>
      <c r="D95" s="5">
        <v>79</v>
      </c>
      <c r="E95" s="5">
        <v>96</v>
      </c>
      <c r="F95" s="21">
        <v>72</v>
      </c>
    </row>
    <row r="96" spans="2:6" x14ac:dyDescent="0.45">
      <c r="B96" s="86" t="s">
        <v>101</v>
      </c>
      <c r="C96" s="10">
        <v>92</v>
      </c>
      <c r="D96" s="7">
        <v>64</v>
      </c>
      <c r="E96" s="7">
        <v>108</v>
      </c>
      <c r="F96" s="22">
        <v>67</v>
      </c>
    </row>
    <row r="97" spans="2:6" x14ac:dyDescent="0.45">
      <c r="B97" t="s">
        <v>93</v>
      </c>
      <c r="C97" s="11">
        <v>93</v>
      </c>
      <c r="D97" s="5">
        <v>123</v>
      </c>
      <c r="E97" s="5">
        <v>65</v>
      </c>
      <c r="F97" s="21">
        <v>85</v>
      </c>
    </row>
    <row r="98" spans="2:6" x14ac:dyDescent="0.45">
      <c r="B98" s="86" t="s">
        <v>337</v>
      </c>
      <c r="C98" s="10">
        <v>94</v>
      </c>
      <c r="D98" s="7">
        <v>76</v>
      </c>
      <c r="E98" s="7">
        <v>119</v>
      </c>
      <c r="F98" s="22">
        <v>41</v>
      </c>
    </row>
    <row r="99" spans="2:6" x14ac:dyDescent="0.45">
      <c r="B99" t="s">
        <v>114</v>
      </c>
      <c r="C99" s="11">
        <v>95</v>
      </c>
      <c r="D99" s="5">
        <v>95</v>
      </c>
      <c r="E99" s="5">
        <v>92</v>
      </c>
      <c r="F99" s="21">
        <v>87</v>
      </c>
    </row>
    <row r="100" spans="2:6" x14ac:dyDescent="0.45">
      <c r="B100" s="86" t="s">
        <v>103</v>
      </c>
      <c r="C100" s="10">
        <v>96</v>
      </c>
      <c r="D100" s="7">
        <v>118</v>
      </c>
      <c r="E100" s="7">
        <v>66</v>
      </c>
      <c r="F100" s="22">
        <v>98</v>
      </c>
    </row>
    <row r="101" spans="2:6" x14ac:dyDescent="0.45">
      <c r="B101" t="s">
        <v>46</v>
      </c>
      <c r="C101" s="11">
        <v>97</v>
      </c>
      <c r="D101" s="5">
        <v>61</v>
      </c>
      <c r="E101" s="5">
        <v>120</v>
      </c>
      <c r="F101" s="21">
        <v>53</v>
      </c>
    </row>
    <row r="102" spans="2:6" x14ac:dyDescent="0.45">
      <c r="B102" s="86" t="s">
        <v>120</v>
      </c>
      <c r="C102" s="10">
        <v>98</v>
      </c>
      <c r="D102" s="7">
        <v>93</v>
      </c>
      <c r="E102" s="7">
        <v>81</v>
      </c>
      <c r="F102" s="22">
        <v>108</v>
      </c>
    </row>
    <row r="103" spans="2:6" x14ac:dyDescent="0.45">
      <c r="B103" t="s">
        <v>98</v>
      </c>
      <c r="C103" s="11">
        <v>99</v>
      </c>
      <c r="D103" s="5">
        <v>85</v>
      </c>
      <c r="E103" s="5">
        <v>95</v>
      </c>
      <c r="F103" s="21">
        <v>91</v>
      </c>
    </row>
    <row r="104" spans="2:6" x14ac:dyDescent="0.45">
      <c r="B104" s="86" t="s">
        <v>22</v>
      </c>
      <c r="C104" s="10">
        <v>100</v>
      </c>
      <c r="D104" s="7">
        <v>65</v>
      </c>
      <c r="E104" s="7">
        <v>117</v>
      </c>
      <c r="F104" s="22">
        <v>64</v>
      </c>
    </row>
    <row r="105" spans="2:6" x14ac:dyDescent="0.45">
      <c r="B105" t="s">
        <v>111</v>
      </c>
      <c r="C105" s="11">
        <v>101</v>
      </c>
      <c r="D105" s="5">
        <v>96</v>
      </c>
      <c r="E105" s="5">
        <v>104</v>
      </c>
      <c r="F105" s="21">
        <v>84</v>
      </c>
    </row>
    <row r="106" spans="2:6" x14ac:dyDescent="0.45">
      <c r="B106" s="86" t="s">
        <v>106</v>
      </c>
      <c r="C106" s="10">
        <v>102</v>
      </c>
      <c r="D106" s="7">
        <v>117</v>
      </c>
      <c r="E106" s="7">
        <v>85</v>
      </c>
      <c r="F106" s="22">
        <v>94</v>
      </c>
    </row>
    <row r="107" spans="2:6" x14ac:dyDescent="0.45">
      <c r="B107" t="s">
        <v>400</v>
      </c>
      <c r="C107" s="11">
        <v>103</v>
      </c>
      <c r="D107" s="5">
        <v>69</v>
      </c>
      <c r="E107" s="5">
        <v>98</v>
      </c>
      <c r="F107" s="21">
        <v>103</v>
      </c>
    </row>
    <row r="108" spans="2:6" x14ac:dyDescent="0.45">
      <c r="B108" s="86" t="s">
        <v>112</v>
      </c>
      <c r="C108" s="10">
        <v>104</v>
      </c>
      <c r="D108" s="7">
        <v>57</v>
      </c>
      <c r="E108" s="7">
        <v>109</v>
      </c>
      <c r="F108" s="22">
        <v>111</v>
      </c>
    </row>
    <row r="109" spans="2:6" x14ac:dyDescent="0.45">
      <c r="B109" t="s">
        <v>127</v>
      </c>
      <c r="C109" s="11">
        <v>105</v>
      </c>
      <c r="D109" s="5">
        <v>56</v>
      </c>
      <c r="E109" s="5">
        <v>102</v>
      </c>
      <c r="F109" s="21">
        <v>118</v>
      </c>
    </row>
    <row r="110" spans="2:6" x14ac:dyDescent="0.45">
      <c r="B110" s="86" t="s">
        <v>128</v>
      </c>
      <c r="C110" s="10">
        <v>106</v>
      </c>
      <c r="D110" s="7">
        <v>53</v>
      </c>
      <c r="E110" s="7">
        <v>118</v>
      </c>
      <c r="F110" s="22">
        <v>96</v>
      </c>
    </row>
    <row r="111" spans="2:6" x14ac:dyDescent="0.45">
      <c r="B111" t="s">
        <v>117</v>
      </c>
      <c r="C111" s="11">
        <v>107</v>
      </c>
      <c r="D111" s="5">
        <v>87</v>
      </c>
      <c r="E111" s="5">
        <v>101</v>
      </c>
      <c r="F111" s="21">
        <v>112</v>
      </c>
    </row>
    <row r="112" spans="2:6" x14ac:dyDescent="0.45">
      <c r="B112" s="86" t="s">
        <v>91</v>
      </c>
      <c r="C112" s="10">
        <v>108</v>
      </c>
      <c r="D112" s="7">
        <v>90</v>
      </c>
      <c r="E112" s="7">
        <v>103</v>
      </c>
      <c r="F112" s="22">
        <v>109</v>
      </c>
    </row>
    <row r="113" spans="2:6" x14ac:dyDescent="0.45">
      <c r="B113" t="s">
        <v>102</v>
      </c>
      <c r="C113" s="11">
        <v>109</v>
      </c>
      <c r="D113" s="5">
        <v>125</v>
      </c>
      <c r="E113" s="5">
        <v>75</v>
      </c>
      <c r="F113" s="21">
        <v>114</v>
      </c>
    </row>
    <row r="114" spans="2:6" x14ac:dyDescent="0.45">
      <c r="B114" s="86" t="s">
        <v>115</v>
      </c>
      <c r="C114" s="10">
        <v>110</v>
      </c>
      <c r="D114" s="7">
        <v>101</v>
      </c>
      <c r="E114" s="7">
        <v>97</v>
      </c>
      <c r="F114" s="22">
        <v>113</v>
      </c>
    </row>
    <row r="115" spans="2:6" x14ac:dyDescent="0.45">
      <c r="B115" t="s">
        <v>403</v>
      </c>
      <c r="C115" s="11">
        <v>111</v>
      </c>
      <c r="D115" s="5">
        <v>111</v>
      </c>
      <c r="E115" s="5">
        <v>106</v>
      </c>
      <c r="F115" s="21">
        <v>104</v>
      </c>
    </row>
    <row r="116" spans="2:6" x14ac:dyDescent="0.45">
      <c r="B116" s="86" t="s">
        <v>121</v>
      </c>
      <c r="C116" s="10">
        <v>112</v>
      </c>
      <c r="D116" s="7">
        <v>112</v>
      </c>
      <c r="E116" s="7">
        <v>121</v>
      </c>
      <c r="F116" s="22">
        <v>63</v>
      </c>
    </row>
    <row r="117" spans="2:6" x14ac:dyDescent="0.45">
      <c r="B117" t="s">
        <v>125</v>
      </c>
      <c r="C117" s="11">
        <v>113</v>
      </c>
      <c r="D117" s="5">
        <v>94</v>
      </c>
      <c r="E117" s="5">
        <v>105</v>
      </c>
      <c r="F117" s="21">
        <v>120</v>
      </c>
    </row>
    <row r="118" spans="2:6" x14ac:dyDescent="0.45">
      <c r="B118" s="86" t="s">
        <v>126</v>
      </c>
      <c r="C118" s="10">
        <v>114</v>
      </c>
      <c r="D118" s="7">
        <v>105</v>
      </c>
      <c r="E118" s="7">
        <v>111</v>
      </c>
      <c r="F118" s="22">
        <v>105</v>
      </c>
    </row>
    <row r="119" spans="2:6" x14ac:dyDescent="0.45">
      <c r="B119" t="s">
        <v>134</v>
      </c>
      <c r="C119" s="11">
        <v>115</v>
      </c>
      <c r="D119" s="5">
        <v>62</v>
      </c>
      <c r="E119" s="5">
        <v>115</v>
      </c>
      <c r="F119" s="21">
        <v>115</v>
      </c>
    </row>
    <row r="120" spans="2:6" x14ac:dyDescent="0.45">
      <c r="B120" s="86" t="s">
        <v>123</v>
      </c>
      <c r="C120" s="10">
        <v>116</v>
      </c>
      <c r="D120" s="7">
        <v>88</v>
      </c>
      <c r="E120" s="7">
        <v>110</v>
      </c>
      <c r="F120" s="22">
        <v>116</v>
      </c>
    </row>
    <row r="121" spans="2:6" x14ac:dyDescent="0.45">
      <c r="B121" t="s">
        <v>104</v>
      </c>
      <c r="C121" s="11">
        <v>117</v>
      </c>
      <c r="D121" s="5">
        <v>113</v>
      </c>
      <c r="E121" s="5">
        <v>116</v>
      </c>
      <c r="F121" s="21">
        <v>101</v>
      </c>
    </row>
    <row r="122" spans="2:6" x14ac:dyDescent="0.45">
      <c r="B122" s="86" t="s">
        <v>116</v>
      </c>
      <c r="C122" s="10">
        <v>118</v>
      </c>
      <c r="D122" s="7">
        <v>110</v>
      </c>
      <c r="E122" s="7">
        <v>122</v>
      </c>
      <c r="F122" s="22">
        <v>86</v>
      </c>
    </row>
    <row r="123" spans="2:6" x14ac:dyDescent="0.45">
      <c r="B123" t="s">
        <v>122</v>
      </c>
      <c r="C123" s="11">
        <v>119</v>
      </c>
      <c r="D123" s="5">
        <v>109</v>
      </c>
      <c r="E123" s="5">
        <v>113</v>
      </c>
      <c r="F123" s="21">
        <v>119</v>
      </c>
    </row>
    <row r="124" spans="2:6" x14ac:dyDescent="0.45">
      <c r="B124" s="86" t="s">
        <v>130</v>
      </c>
      <c r="C124" s="10">
        <v>120</v>
      </c>
      <c r="D124" s="7">
        <v>116</v>
      </c>
      <c r="E124" s="7">
        <v>125</v>
      </c>
      <c r="F124" s="22">
        <v>80</v>
      </c>
    </row>
    <row r="125" spans="2:6" x14ac:dyDescent="0.45">
      <c r="B125" t="s">
        <v>133</v>
      </c>
      <c r="C125" s="11">
        <v>121</v>
      </c>
      <c r="D125" s="5">
        <v>114</v>
      </c>
      <c r="E125" s="5">
        <v>127</v>
      </c>
      <c r="F125" s="21">
        <v>75</v>
      </c>
    </row>
    <row r="126" spans="2:6" x14ac:dyDescent="0.45">
      <c r="B126" s="86" t="s">
        <v>132</v>
      </c>
      <c r="C126" s="10">
        <v>122</v>
      </c>
      <c r="D126" s="7">
        <v>121</v>
      </c>
      <c r="E126" s="7">
        <v>100</v>
      </c>
      <c r="F126" s="22">
        <v>125</v>
      </c>
    </row>
    <row r="127" spans="2:6" x14ac:dyDescent="0.45">
      <c r="B127" t="s">
        <v>598</v>
      </c>
      <c r="C127" s="11">
        <v>123</v>
      </c>
      <c r="D127" s="5">
        <v>119</v>
      </c>
      <c r="E127" s="5">
        <v>114</v>
      </c>
      <c r="F127" s="21">
        <v>123</v>
      </c>
    </row>
    <row r="128" spans="2:6" x14ac:dyDescent="0.45">
      <c r="B128" s="86" t="s">
        <v>374</v>
      </c>
      <c r="C128" s="10">
        <v>124</v>
      </c>
      <c r="D128" s="7">
        <v>108</v>
      </c>
      <c r="E128" s="7">
        <v>107</v>
      </c>
      <c r="F128" s="22">
        <v>127</v>
      </c>
    </row>
    <row r="129" spans="2:6" x14ac:dyDescent="0.45">
      <c r="B129" t="s">
        <v>129</v>
      </c>
      <c r="C129" s="11">
        <v>125</v>
      </c>
      <c r="D129" s="5">
        <v>52</v>
      </c>
      <c r="E129" s="5">
        <v>124</v>
      </c>
      <c r="F129" s="21">
        <v>126</v>
      </c>
    </row>
    <row r="130" spans="2:6" x14ac:dyDescent="0.45">
      <c r="B130" s="86" t="s">
        <v>131</v>
      </c>
      <c r="C130" s="10">
        <v>126</v>
      </c>
      <c r="D130" s="7">
        <v>127</v>
      </c>
      <c r="E130" s="7">
        <v>123</v>
      </c>
      <c r="F130" s="22">
        <v>124</v>
      </c>
    </row>
    <row r="131" spans="2:6" x14ac:dyDescent="0.45">
      <c r="B131" s="39" t="s">
        <v>135</v>
      </c>
      <c r="C131" s="101">
        <v>127</v>
      </c>
      <c r="D131" s="102">
        <v>126</v>
      </c>
      <c r="E131" s="102">
        <v>126</v>
      </c>
      <c r="F131" s="103">
        <v>122</v>
      </c>
    </row>
    <row r="132" spans="2:6" x14ac:dyDescent="0.45">
      <c r="B132" s="110" t="s">
        <v>614</v>
      </c>
      <c r="C132" s="111"/>
      <c r="D132" s="111"/>
      <c r="E132" s="111"/>
      <c r="F132" s="112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B2:C129"/>
  <sheetViews>
    <sheetView workbookViewId="0">
      <selection activeCell="S15" sqref="S15"/>
    </sheetView>
  </sheetViews>
  <sheetFormatPr defaultRowHeight="14.25" x14ac:dyDescent="0.45"/>
  <cols>
    <col min="2" max="2" width="31.59765625" bestFit="1" customWidth="1"/>
    <col min="3" max="3" width="7.59765625" bestFit="1" customWidth="1"/>
    <col min="4" max="4" width="9.1328125" customWidth="1"/>
  </cols>
  <sheetData>
    <row r="2" spans="2:3" x14ac:dyDescent="0.45">
      <c r="B2" s="85" t="s">
        <v>7</v>
      </c>
      <c r="C2" s="85" t="s">
        <v>279</v>
      </c>
    </row>
    <row r="3" spans="2:3" x14ac:dyDescent="0.45">
      <c r="B3" s="9" t="s">
        <v>97</v>
      </c>
    </row>
    <row r="4" spans="2:3" x14ac:dyDescent="0.45">
      <c r="B4" s="27" t="s">
        <v>115</v>
      </c>
      <c r="C4" s="3"/>
    </row>
    <row r="5" spans="2:3" x14ac:dyDescent="0.45">
      <c r="B5" s="9" t="s">
        <v>133</v>
      </c>
    </row>
    <row r="6" spans="2:3" x14ac:dyDescent="0.45">
      <c r="B6" s="27" t="s">
        <v>83</v>
      </c>
      <c r="C6" s="3"/>
    </row>
    <row r="7" spans="2:3" x14ac:dyDescent="0.45">
      <c r="B7" s="9" t="s">
        <v>33</v>
      </c>
    </row>
    <row r="8" spans="2:3" x14ac:dyDescent="0.45">
      <c r="B8" s="27" t="s">
        <v>30</v>
      </c>
      <c r="C8" s="3"/>
    </row>
    <row r="9" spans="2:3" x14ac:dyDescent="0.45">
      <c r="B9" s="9" t="s">
        <v>51</v>
      </c>
    </row>
    <row r="10" spans="2:3" x14ac:dyDescent="0.45">
      <c r="B10" s="27" t="s">
        <v>95</v>
      </c>
      <c r="C10" s="3"/>
    </row>
    <row r="11" spans="2:3" x14ac:dyDescent="0.45">
      <c r="B11" s="9" t="s">
        <v>77</v>
      </c>
    </row>
    <row r="12" spans="2:3" x14ac:dyDescent="0.45">
      <c r="B12" s="27" t="s">
        <v>110</v>
      </c>
      <c r="C12" s="3"/>
    </row>
    <row r="13" spans="2:3" x14ac:dyDescent="0.45">
      <c r="B13" s="9" t="s">
        <v>54</v>
      </c>
    </row>
    <row r="14" spans="2:3" x14ac:dyDescent="0.45">
      <c r="B14" s="27" t="s">
        <v>403</v>
      </c>
      <c r="C14" s="3"/>
    </row>
    <row r="15" spans="2:3" x14ac:dyDescent="0.45">
      <c r="B15" s="9" t="s">
        <v>385</v>
      </c>
    </row>
    <row r="16" spans="2:3" x14ac:dyDescent="0.45">
      <c r="B16" s="27" t="s">
        <v>103</v>
      </c>
      <c r="C16" s="3"/>
    </row>
    <row r="17" spans="2:3" x14ac:dyDescent="0.45">
      <c r="B17" s="9" t="s">
        <v>116</v>
      </c>
    </row>
    <row r="18" spans="2:3" x14ac:dyDescent="0.45">
      <c r="B18" s="27" t="s">
        <v>78</v>
      </c>
      <c r="C18" s="3"/>
    </row>
    <row r="19" spans="2:3" x14ac:dyDescent="0.45">
      <c r="B19" s="9" t="s">
        <v>76</v>
      </c>
    </row>
    <row r="20" spans="2:3" x14ac:dyDescent="0.45">
      <c r="B20" s="27" t="s">
        <v>126</v>
      </c>
      <c r="C20" s="3"/>
    </row>
    <row r="21" spans="2:3" x14ac:dyDescent="0.45">
      <c r="B21" s="9" t="s">
        <v>135</v>
      </c>
    </row>
    <row r="22" spans="2:3" x14ac:dyDescent="0.45">
      <c r="B22" s="27" t="s">
        <v>108</v>
      </c>
      <c r="C22" s="3"/>
    </row>
    <row r="23" spans="2:3" x14ac:dyDescent="0.45">
      <c r="B23" s="9" t="s">
        <v>120</v>
      </c>
    </row>
    <row r="24" spans="2:3" x14ac:dyDescent="0.45">
      <c r="B24" s="27" t="s">
        <v>123</v>
      </c>
      <c r="C24" s="3"/>
    </row>
    <row r="25" spans="2:3" x14ac:dyDescent="0.45">
      <c r="B25" s="9" t="s">
        <v>35</v>
      </c>
    </row>
    <row r="26" spans="2:3" x14ac:dyDescent="0.45">
      <c r="B26" s="27" t="s">
        <v>36</v>
      </c>
      <c r="C26" s="3"/>
    </row>
    <row r="27" spans="2:3" x14ac:dyDescent="0.45">
      <c r="B27" s="9" t="s">
        <v>41</v>
      </c>
    </row>
    <row r="28" spans="2:3" x14ac:dyDescent="0.45">
      <c r="B28" s="27" t="s">
        <v>88</v>
      </c>
      <c r="C28" s="3"/>
    </row>
    <row r="29" spans="2:3" x14ac:dyDescent="0.45">
      <c r="B29" s="9" t="s">
        <v>81</v>
      </c>
    </row>
    <row r="30" spans="2:3" x14ac:dyDescent="0.45">
      <c r="B30" s="27" t="s">
        <v>390</v>
      </c>
      <c r="C30" s="3"/>
    </row>
    <row r="31" spans="2:3" x14ac:dyDescent="0.45">
      <c r="B31" s="9" t="s">
        <v>71</v>
      </c>
    </row>
    <row r="32" spans="2:3" x14ac:dyDescent="0.45">
      <c r="B32" s="27" t="s">
        <v>70</v>
      </c>
      <c r="C32" s="3"/>
    </row>
    <row r="33" spans="2:3" x14ac:dyDescent="0.45">
      <c r="B33" s="9" t="s">
        <v>311</v>
      </c>
    </row>
    <row r="34" spans="2:3" x14ac:dyDescent="0.45">
      <c r="B34" s="27" t="s">
        <v>12</v>
      </c>
      <c r="C34" s="3"/>
    </row>
    <row r="35" spans="2:3" x14ac:dyDescent="0.45">
      <c r="B35" s="9" t="s">
        <v>99</v>
      </c>
    </row>
    <row r="36" spans="2:3" x14ac:dyDescent="0.45">
      <c r="B36" s="27" t="s">
        <v>107</v>
      </c>
      <c r="C36" s="3"/>
    </row>
    <row r="37" spans="2:3" x14ac:dyDescent="0.45">
      <c r="B37" s="9" t="s">
        <v>24</v>
      </c>
    </row>
    <row r="38" spans="2:3" x14ac:dyDescent="0.45">
      <c r="B38" s="27" t="s">
        <v>113</v>
      </c>
      <c r="C38" s="3"/>
    </row>
    <row r="39" spans="2:3" x14ac:dyDescent="0.45">
      <c r="B39" s="9" t="s">
        <v>57</v>
      </c>
    </row>
    <row r="40" spans="2:3" x14ac:dyDescent="0.45">
      <c r="B40" s="27" t="s">
        <v>134</v>
      </c>
      <c r="C40" s="3"/>
    </row>
    <row r="41" spans="2:3" x14ac:dyDescent="0.45">
      <c r="B41" s="9" t="s">
        <v>13</v>
      </c>
    </row>
    <row r="42" spans="2:3" x14ac:dyDescent="0.45">
      <c r="B42" s="27" t="s">
        <v>50</v>
      </c>
      <c r="C42" s="3"/>
    </row>
    <row r="43" spans="2:3" x14ac:dyDescent="0.45">
      <c r="B43" s="9" t="s">
        <v>90</v>
      </c>
    </row>
    <row r="44" spans="2:3" x14ac:dyDescent="0.45">
      <c r="B44" s="27" t="s">
        <v>16</v>
      </c>
      <c r="C44" s="3"/>
    </row>
    <row r="45" spans="2:3" x14ac:dyDescent="0.45">
      <c r="B45" s="9" t="s">
        <v>111</v>
      </c>
    </row>
    <row r="46" spans="2:3" x14ac:dyDescent="0.45">
      <c r="B46" s="27" t="s">
        <v>72</v>
      </c>
      <c r="C46" s="3"/>
    </row>
    <row r="47" spans="2:3" x14ac:dyDescent="0.45">
      <c r="B47" s="9" t="s">
        <v>119</v>
      </c>
    </row>
    <row r="48" spans="2:3" x14ac:dyDescent="0.45">
      <c r="B48" s="27" t="s">
        <v>118</v>
      </c>
      <c r="C48" s="3"/>
    </row>
    <row r="49" spans="2:3" x14ac:dyDescent="0.45">
      <c r="B49" s="9" t="s">
        <v>315</v>
      </c>
    </row>
    <row r="50" spans="2:3" x14ac:dyDescent="0.45">
      <c r="B50" s="27" t="s">
        <v>69</v>
      </c>
      <c r="C50" s="3"/>
    </row>
    <row r="51" spans="2:3" x14ac:dyDescent="0.45">
      <c r="B51" s="9" t="s">
        <v>60</v>
      </c>
    </row>
    <row r="52" spans="2:3" x14ac:dyDescent="0.45">
      <c r="B52" s="27" t="s">
        <v>44</v>
      </c>
      <c r="C52" s="3"/>
    </row>
    <row r="53" spans="2:3" x14ac:dyDescent="0.45">
      <c r="B53" s="9" t="s">
        <v>89</v>
      </c>
    </row>
    <row r="54" spans="2:3" x14ac:dyDescent="0.45">
      <c r="B54" s="27" t="s">
        <v>374</v>
      </c>
      <c r="C54" s="3"/>
    </row>
    <row r="55" spans="2:3" x14ac:dyDescent="0.45">
      <c r="B55" s="9" t="s">
        <v>55</v>
      </c>
    </row>
    <row r="56" spans="2:3" x14ac:dyDescent="0.45">
      <c r="B56" s="27" t="s">
        <v>58</v>
      </c>
      <c r="C56" s="3"/>
    </row>
    <row r="57" spans="2:3" x14ac:dyDescent="0.45">
      <c r="B57" s="9" t="s">
        <v>63</v>
      </c>
    </row>
    <row r="58" spans="2:3" x14ac:dyDescent="0.45">
      <c r="B58" s="27" t="s">
        <v>93</v>
      </c>
      <c r="C58" s="3"/>
    </row>
    <row r="59" spans="2:3" x14ac:dyDescent="0.45">
      <c r="B59" s="9" t="s">
        <v>52</v>
      </c>
    </row>
    <row r="60" spans="2:3" x14ac:dyDescent="0.45">
      <c r="B60" s="27" t="s">
        <v>91</v>
      </c>
      <c r="C60" s="3"/>
    </row>
    <row r="61" spans="2:3" x14ac:dyDescent="0.45">
      <c r="B61" s="9" t="s">
        <v>85</v>
      </c>
    </row>
    <row r="62" spans="2:3" x14ac:dyDescent="0.45">
      <c r="B62" s="27" t="s">
        <v>101</v>
      </c>
      <c r="C62" s="3"/>
    </row>
    <row r="63" spans="2:3" x14ac:dyDescent="0.45">
      <c r="B63" s="9" t="s">
        <v>80</v>
      </c>
    </row>
    <row r="64" spans="2:3" x14ac:dyDescent="0.45">
      <c r="B64" s="27" t="s">
        <v>109</v>
      </c>
      <c r="C64" s="3"/>
    </row>
    <row r="65" spans="2:3" x14ac:dyDescent="0.45">
      <c r="B65" s="9" t="s">
        <v>388</v>
      </c>
    </row>
    <row r="66" spans="2:3" x14ac:dyDescent="0.45">
      <c r="B66" s="27" t="s">
        <v>68</v>
      </c>
      <c r="C66" s="3"/>
    </row>
    <row r="67" spans="2:3" x14ac:dyDescent="0.45">
      <c r="B67" s="9" t="s">
        <v>131</v>
      </c>
    </row>
    <row r="68" spans="2:3" x14ac:dyDescent="0.45">
      <c r="B68" s="27" t="s">
        <v>64</v>
      </c>
      <c r="C68" s="3"/>
    </row>
    <row r="69" spans="2:3" x14ac:dyDescent="0.45">
      <c r="B69" s="9" t="s">
        <v>53</v>
      </c>
    </row>
    <row r="70" spans="2:3" x14ac:dyDescent="0.45">
      <c r="B70" s="27" t="s">
        <v>129</v>
      </c>
      <c r="C70" s="3"/>
    </row>
    <row r="71" spans="2:3" x14ac:dyDescent="0.45">
      <c r="B71" s="9" t="s">
        <v>128</v>
      </c>
    </row>
    <row r="72" spans="2:3" x14ac:dyDescent="0.45">
      <c r="B72" s="27" t="s">
        <v>42</v>
      </c>
      <c r="C72" s="3"/>
    </row>
    <row r="73" spans="2:3" x14ac:dyDescent="0.45">
      <c r="B73" s="9" t="s">
        <v>127</v>
      </c>
    </row>
    <row r="74" spans="2:3" x14ac:dyDescent="0.45">
      <c r="B74" s="27" t="s">
        <v>62</v>
      </c>
      <c r="C74" s="3"/>
    </row>
    <row r="75" spans="2:3" x14ac:dyDescent="0.45">
      <c r="B75" s="9" t="s">
        <v>598</v>
      </c>
    </row>
    <row r="76" spans="2:3" x14ac:dyDescent="0.45">
      <c r="B76" s="27" t="s">
        <v>23</v>
      </c>
      <c r="C76" s="3"/>
    </row>
    <row r="77" spans="2:3" x14ac:dyDescent="0.45">
      <c r="B77" s="9" t="s">
        <v>84</v>
      </c>
    </row>
    <row r="78" spans="2:3" x14ac:dyDescent="0.45">
      <c r="B78" s="27" t="s">
        <v>106</v>
      </c>
      <c r="C78" s="3"/>
    </row>
    <row r="79" spans="2:3" x14ac:dyDescent="0.45">
      <c r="B79" s="9" t="s">
        <v>86</v>
      </c>
    </row>
    <row r="80" spans="2:3" x14ac:dyDescent="0.45">
      <c r="B80" s="27" t="s">
        <v>98</v>
      </c>
      <c r="C80" s="3"/>
    </row>
    <row r="81" spans="2:3" x14ac:dyDescent="0.45">
      <c r="B81" s="9" t="s">
        <v>132</v>
      </c>
    </row>
    <row r="82" spans="2:3" x14ac:dyDescent="0.45">
      <c r="B82" s="27" t="s">
        <v>121</v>
      </c>
      <c r="C82" s="3"/>
    </row>
    <row r="83" spans="2:3" x14ac:dyDescent="0.45">
      <c r="B83" s="9" t="s">
        <v>124</v>
      </c>
    </row>
    <row r="84" spans="2:3" x14ac:dyDescent="0.45">
      <c r="B84" s="27" t="s">
        <v>9</v>
      </c>
      <c r="C84" s="3"/>
    </row>
    <row r="85" spans="2:3" x14ac:dyDescent="0.45">
      <c r="B85" s="9" t="s">
        <v>56</v>
      </c>
    </row>
    <row r="86" spans="2:3" x14ac:dyDescent="0.45">
      <c r="B86" s="27" t="s">
        <v>597</v>
      </c>
      <c r="C86" s="3"/>
    </row>
    <row r="87" spans="2:3" x14ac:dyDescent="0.45">
      <c r="B87" s="9" t="s">
        <v>117</v>
      </c>
    </row>
    <row r="88" spans="2:3" x14ac:dyDescent="0.45">
      <c r="B88" s="27" t="s">
        <v>87</v>
      </c>
      <c r="C88" s="3"/>
    </row>
    <row r="89" spans="2:3" x14ac:dyDescent="0.45">
      <c r="B89" s="9" t="s">
        <v>17</v>
      </c>
    </row>
    <row r="90" spans="2:3" x14ac:dyDescent="0.45">
      <c r="B90" s="27" t="s">
        <v>74</v>
      </c>
      <c r="C90" s="3"/>
    </row>
    <row r="91" spans="2:3" x14ac:dyDescent="0.45">
      <c r="B91" s="9" t="s">
        <v>112</v>
      </c>
    </row>
    <row r="92" spans="2:3" x14ac:dyDescent="0.45">
      <c r="B92" s="27" t="s">
        <v>94</v>
      </c>
      <c r="C92" s="3"/>
    </row>
    <row r="93" spans="2:3" x14ac:dyDescent="0.45">
      <c r="B93" s="9" t="s">
        <v>105</v>
      </c>
    </row>
    <row r="94" spans="2:3" x14ac:dyDescent="0.45">
      <c r="B94" s="27" t="s">
        <v>92</v>
      </c>
      <c r="C94" s="3"/>
    </row>
    <row r="95" spans="2:3" x14ac:dyDescent="0.45">
      <c r="B95" s="9" t="s">
        <v>100</v>
      </c>
    </row>
    <row r="96" spans="2:3" x14ac:dyDescent="0.45">
      <c r="B96" s="27" t="s">
        <v>66</v>
      </c>
      <c r="C96" s="3"/>
    </row>
    <row r="97" spans="2:3" x14ac:dyDescent="0.45">
      <c r="B97" s="9" t="s">
        <v>65</v>
      </c>
    </row>
    <row r="98" spans="2:3" x14ac:dyDescent="0.45">
      <c r="B98" s="27" t="s">
        <v>28</v>
      </c>
      <c r="C98" s="3"/>
    </row>
    <row r="99" spans="2:3" x14ac:dyDescent="0.45">
      <c r="B99" s="9" t="s">
        <v>282</v>
      </c>
    </row>
    <row r="100" spans="2:3" x14ac:dyDescent="0.45">
      <c r="B100" s="27" t="s">
        <v>353</v>
      </c>
      <c r="C100" s="3"/>
    </row>
    <row r="101" spans="2:3" x14ac:dyDescent="0.45">
      <c r="B101" s="9" t="s">
        <v>73</v>
      </c>
    </row>
    <row r="102" spans="2:3" x14ac:dyDescent="0.45">
      <c r="B102" s="27" t="s">
        <v>136</v>
      </c>
      <c r="C102" s="3"/>
    </row>
    <row r="103" spans="2:3" x14ac:dyDescent="0.45">
      <c r="B103" s="9" t="s">
        <v>46</v>
      </c>
    </row>
    <row r="104" spans="2:3" x14ac:dyDescent="0.45">
      <c r="B104" s="27" t="s">
        <v>27</v>
      </c>
      <c r="C104" s="3"/>
    </row>
    <row r="105" spans="2:3" x14ac:dyDescent="0.45">
      <c r="B105" s="9" t="s">
        <v>114</v>
      </c>
    </row>
    <row r="106" spans="2:3" x14ac:dyDescent="0.45">
      <c r="B106" s="27" t="s">
        <v>82</v>
      </c>
      <c r="C106" s="3"/>
    </row>
    <row r="107" spans="2:3" x14ac:dyDescent="0.45">
      <c r="B107" s="9" t="s">
        <v>15</v>
      </c>
    </row>
    <row r="108" spans="2:3" x14ac:dyDescent="0.45">
      <c r="B108" s="27" t="s">
        <v>67</v>
      </c>
      <c r="C108" s="3"/>
    </row>
    <row r="109" spans="2:3" x14ac:dyDescent="0.45">
      <c r="B109" s="9" t="s">
        <v>61</v>
      </c>
    </row>
    <row r="110" spans="2:3" x14ac:dyDescent="0.45">
      <c r="B110" s="27" t="s">
        <v>22</v>
      </c>
      <c r="C110" s="3"/>
    </row>
    <row r="111" spans="2:3" x14ac:dyDescent="0.45">
      <c r="B111" s="9" t="s">
        <v>59</v>
      </c>
    </row>
    <row r="112" spans="2:3" x14ac:dyDescent="0.45">
      <c r="B112" s="27" t="s">
        <v>96</v>
      </c>
      <c r="C112" s="3"/>
    </row>
    <row r="113" spans="2:3" x14ac:dyDescent="0.45">
      <c r="B113" s="9" t="s">
        <v>11</v>
      </c>
    </row>
    <row r="114" spans="2:3" x14ac:dyDescent="0.45">
      <c r="B114" s="27" t="s">
        <v>14</v>
      </c>
      <c r="C114" s="3"/>
    </row>
    <row r="115" spans="2:3" x14ac:dyDescent="0.45">
      <c r="B115" s="9" t="s">
        <v>79</v>
      </c>
    </row>
    <row r="116" spans="2:3" x14ac:dyDescent="0.45">
      <c r="B116" s="27" t="s">
        <v>102</v>
      </c>
      <c r="C116" s="3"/>
    </row>
    <row r="117" spans="2:3" x14ac:dyDescent="0.45">
      <c r="B117" s="9" t="s">
        <v>104</v>
      </c>
    </row>
    <row r="118" spans="2:3" x14ac:dyDescent="0.45">
      <c r="B118" s="27" t="s">
        <v>337</v>
      </c>
      <c r="C118" s="3"/>
    </row>
    <row r="119" spans="2:3" x14ac:dyDescent="0.45">
      <c r="B119" s="9" t="s">
        <v>125</v>
      </c>
    </row>
    <row r="120" spans="2:3" x14ac:dyDescent="0.45">
      <c r="B120" s="27" t="s">
        <v>32</v>
      </c>
      <c r="C120" s="3"/>
    </row>
    <row r="121" spans="2:3" x14ac:dyDescent="0.45">
      <c r="B121" s="9" t="s">
        <v>26</v>
      </c>
    </row>
    <row r="122" spans="2:3" x14ac:dyDescent="0.45">
      <c r="B122" s="27" t="s">
        <v>18</v>
      </c>
      <c r="C122" s="3"/>
    </row>
    <row r="123" spans="2:3" x14ac:dyDescent="0.45">
      <c r="B123" s="9" t="s">
        <v>400</v>
      </c>
    </row>
    <row r="124" spans="2:3" x14ac:dyDescent="0.45">
      <c r="B124" s="27" t="s">
        <v>281</v>
      </c>
      <c r="C124" s="3"/>
    </row>
    <row r="125" spans="2:3" x14ac:dyDescent="0.45">
      <c r="B125" s="9" t="s">
        <v>75</v>
      </c>
    </row>
    <row r="126" spans="2:3" x14ac:dyDescent="0.45">
      <c r="B126" s="27" t="s">
        <v>596</v>
      </c>
      <c r="C126" s="3"/>
    </row>
    <row r="127" spans="2:3" x14ac:dyDescent="0.45">
      <c r="B127" s="9" t="s">
        <v>137</v>
      </c>
    </row>
    <row r="128" spans="2:3" x14ac:dyDescent="0.45">
      <c r="B128" s="27" t="s">
        <v>122</v>
      </c>
      <c r="C128" s="3"/>
    </row>
    <row r="129" spans="2:2" x14ac:dyDescent="0.45">
      <c r="B129" s="9" t="s">
        <v>130</v>
      </c>
    </row>
  </sheetData>
  <autoFilter ref="B2:C129" xr:uid="{00000000-0001-0000-0B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NRI 2025</vt:lpstr>
      <vt:lpstr>T1 Top 10</vt:lpstr>
      <vt:lpstr>T2 Top3 Region</vt:lpstr>
      <vt:lpstr>T3 Top3 Income</vt:lpstr>
      <vt:lpstr>T1 NRI R&amp;S</vt:lpstr>
      <vt:lpstr>T2 Rank pillar</vt:lpstr>
      <vt:lpstr>Country Codes</vt:lpstr>
      <vt:lpstr>AT1 Technology</vt:lpstr>
      <vt:lpstr>AT2 People</vt:lpstr>
      <vt:lpstr>AT3 Governance</vt:lpstr>
      <vt:lpstr>AT4 Impact</vt:lpstr>
      <vt:lpstr>Index of Country Economy Profil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RER</dc:creator>
  <cp:lastModifiedBy>Shailja Bang Shah</cp:lastModifiedBy>
  <dcterms:created xsi:type="dcterms:W3CDTF">2021-10-26T17:25:52Z</dcterms:created>
  <dcterms:modified xsi:type="dcterms:W3CDTF">2026-02-16T14:14:31Z</dcterms:modified>
</cp:coreProperties>
</file>